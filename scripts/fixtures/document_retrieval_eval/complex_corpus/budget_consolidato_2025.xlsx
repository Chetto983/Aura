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potesi" sheetId="1" state="visible" r:id="rId2"/>
    <sheet name="Ricavi" sheetId="2" state="visible" r:id="rId3"/>
    <sheet name="Costi" sheetId="3" state="visible" r:id="rId4"/>
    <sheet name="Consolidato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1"/>
            <color rgb="FF000000"/>
            <rFont val="Calibri"/>
            <family val="2"/>
            <charset val="1"/>
          </rPr>
          <t xml:space="preserve">Approvata dal CdA del 12 dicembre</t>
        </r>
      </text>
    </comment>
  </commentList>
</comments>
</file>

<file path=xl/sharedStrings.xml><?xml version="1.0" encoding="utf-8"?>
<sst xmlns="http://schemas.openxmlformats.org/spreadsheetml/2006/main" count="36" uniqueCount="34">
  <si>
    <t xml:space="preserve">Ipotesi di budget 2025</t>
  </si>
  <si>
    <t xml:space="preserve">Crescita ricavi attesa</t>
  </si>
  <si>
    <t xml:space="preserve">Inflazione sui costi</t>
  </si>
  <si>
    <t xml:space="preserve">Cambio EUR/USD di riferimento</t>
  </si>
  <si>
    <t xml:space="preserve">Ricavi 2025 per area geografica (migliaia di euro)</t>
  </si>
  <si>
    <t xml:space="preserve">Trimestre</t>
  </si>
  <si>
    <t xml:space="preserve">Area</t>
  </si>
  <si>
    <t xml:space="preserve">T1</t>
  </si>
  <si>
    <t xml:space="preserve">T2</t>
  </si>
  <si>
    <t xml:space="preserve">T3</t>
  </si>
  <si>
    <t xml:space="preserve">T4</t>
  </si>
  <si>
    <t xml:space="preserve">Totale anno</t>
  </si>
  <si>
    <t xml:space="preserve">Nord-Ovest</t>
  </si>
  <si>
    <t xml:space="preserve">Nord-Est</t>
  </si>
  <si>
    <t xml:space="preserve">Centro</t>
  </si>
  <si>
    <t xml:space="preserve">Sud e Isole</t>
  </si>
  <si>
    <t xml:space="preserve">Totale</t>
  </si>
  <si>
    <t xml:space="preserve">Centro di costo</t>
  </si>
  <si>
    <t xml:space="preserve">Personale</t>
  </si>
  <si>
    <t xml:space="preserve">Materiali</t>
  </si>
  <si>
    <t xml:space="preserve">Servizi</t>
  </si>
  <si>
    <t xml:space="preserve">Ammortamenti</t>
  </si>
  <si>
    <t xml:space="preserve">Produzione</t>
  </si>
  <si>
    <t xml:space="preserve">Logistica</t>
  </si>
  <si>
    <t xml:space="preserve">Commerciale</t>
  </si>
  <si>
    <t xml:space="preserve">Amministrazione</t>
  </si>
  <si>
    <t xml:space="preserve">R&amp;S</t>
  </si>
  <si>
    <t xml:space="preserve">Voce</t>
  </si>
  <si>
    <t xml:space="preserve">Importo (k€)</t>
  </si>
  <si>
    <t xml:space="preserve">Ricavi totali</t>
  </si>
  <si>
    <t xml:space="preserve">Costi totali</t>
  </si>
  <si>
    <t xml:space="preserve">Costi indicizzati</t>
  </si>
  <si>
    <t xml:space="preserve">EBITDA</t>
  </si>
  <si>
    <t xml:space="preserve">EBITDA margin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</si>
</sst>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0.052</v>
      </c>
    </row>
    <row r="3" customFormat="false" ht="15" hidden="false" customHeight="false" outlineLevel="0" collapsed="false">
      <c r="A3" s="0" t="s">
        <v>2</v>
      </c>
      <c r="B3" s="0" t="n">
        <v>0.025</v>
      </c>
    </row>
    <row r="4" customFormat="false" ht="15" hidden="false" customHeight="false" outlineLevel="0" collapsed="false">
      <c r="A4" s="0" t="s">
        <v>3</v>
      </c>
      <c r="B4" s="0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4</v>
      </c>
      <c r="B1" s="1"/>
      <c r="C1" s="1"/>
      <c r="D1" s="1"/>
      <c r="E1" s="1"/>
      <c r="F1" s="1"/>
    </row>
    <row r="2" customFormat="false" ht="15" hidden="false" customHeight="false" outlineLevel="0" collapsed="false">
      <c r="B2" s="1" t="s">
        <v>5</v>
      </c>
      <c r="C2" s="1"/>
      <c r="D2" s="1"/>
      <c r="E2" s="1"/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customFormat="false" ht="15" hidden="false" customHeight="false" outlineLevel="0" collapsed="false">
      <c r="A4" s="0" t="s">
        <v>12</v>
      </c>
      <c r="B4" s="0" t="n">
        <v>1154</v>
      </c>
      <c r="C4" s="0" t="n">
        <v>1883</v>
      </c>
      <c r="D4" s="0" t="n">
        <v>800</v>
      </c>
      <c r="E4" s="0" t="n">
        <v>1560</v>
      </c>
      <c r="F4" s="0" t="n">
        <f aca="false">SUM(B4:E4)</f>
        <v>5397</v>
      </c>
    </row>
    <row r="5" customFormat="false" ht="15" hidden="false" customHeight="false" outlineLevel="0" collapsed="false">
      <c r="A5" s="0" t="s">
        <v>13</v>
      </c>
      <c r="B5" s="0" t="n">
        <v>1569</v>
      </c>
      <c r="C5" s="0" t="n">
        <v>1966</v>
      </c>
      <c r="D5" s="0" t="n">
        <v>1275</v>
      </c>
      <c r="E5" s="0" t="n">
        <v>934</v>
      </c>
      <c r="F5" s="0" t="n">
        <f aca="false">SUM(B5:E5)</f>
        <v>5744</v>
      </c>
    </row>
    <row r="6" customFormat="false" ht="15" hidden="false" customHeight="false" outlineLevel="0" collapsed="false">
      <c r="A6" s="0" t="s">
        <v>14</v>
      </c>
      <c r="B6" s="0" t="n">
        <v>1583</v>
      </c>
      <c r="C6" s="0" t="n">
        <v>1620</v>
      </c>
      <c r="D6" s="0" t="n">
        <v>1000</v>
      </c>
      <c r="E6" s="0" t="n">
        <v>888</v>
      </c>
      <c r="F6" s="0" t="n">
        <f aca="false">SUM(B6:E6)</f>
        <v>5091</v>
      </c>
    </row>
    <row r="7" customFormat="false" ht="15" hidden="false" customHeight="false" outlineLevel="0" collapsed="false">
      <c r="A7" s="0" t="s">
        <v>15</v>
      </c>
      <c r="B7" s="0" t="n">
        <v>1043</v>
      </c>
      <c r="C7" s="0" t="n">
        <v>2371</v>
      </c>
      <c r="D7" s="0" t="n">
        <v>1233</v>
      </c>
      <c r="E7" s="0" t="n">
        <v>1569</v>
      </c>
      <c r="F7" s="0" t="n">
        <f aca="false">SUM(B7:E7)</f>
        <v>6216</v>
      </c>
    </row>
    <row r="8" customFormat="false" ht="15" hidden="false" customHeight="false" outlineLevel="0" collapsed="false">
      <c r="A8" s="0" t="s">
        <v>16</v>
      </c>
      <c r="B8" s="0" t="n">
        <f aca="false">SUM(B4:B7)</f>
        <v>5349</v>
      </c>
      <c r="C8" s="0" t="n">
        <f aca="false">SUM(C4:C7)</f>
        <v>7840</v>
      </c>
      <c r="D8" s="0" t="n">
        <f aca="false">SUM(D4:D7)</f>
        <v>4308</v>
      </c>
      <c r="E8" s="0" t="n">
        <f aca="false">SUM(E4:E7)</f>
        <v>4951</v>
      </c>
      <c r="F8" s="0" t="n">
        <f aca="false">SUM(F4:F7)</f>
        <v>22448</v>
      </c>
    </row>
  </sheetData>
  <mergeCells count="2">
    <mergeCell ref="A1:F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16</v>
      </c>
    </row>
    <row r="2" customFormat="false" ht="15" hidden="false" customHeight="false" outlineLevel="0" collapsed="false">
      <c r="A2" s="0" t="s">
        <v>22</v>
      </c>
      <c r="B2" s="0" t="n">
        <v>353</v>
      </c>
      <c r="C2" s="0" t="n">
        <v>992</v>
      </c>
      <c r="D2" s="0" t="n">
        <v>250</v>
      </c>
      <c r="E2" s="0" t="n">
        <v>207</v>
      </c>
      <c r="F2" s="0" t="n">
        <f aca="false">SUM(B2:E2)</f>
        <v>1802</v>
      </c>
    </row>
    <row r="3" customFormat="false" ht="15" hidden="false" customHeight="false" outlineLevel="0" collapsed="false">
      <c r="A3" s="0" t="s">
        <v>23</v>
      </c>
      <c r="B3" s="0" t="n">
        <v>1284</v>
      </c>
      <c r="C3" s="0" t="n">
        <v>1194</v>
      </c>
      <c r="D3" s="0" t="n">
        <v>286</v>
      </c>
      <c r="E3" s="0" t="n">
        <v>547</v>
      </c>
      <c r="F3" s="0" t="n">
        <f aca="false">SUM(B3:E3)</f>
        <v>3311</v>
      </c>
    </row>
    <row r="4" customFormat="false" ht="15" hidden="false" customHeight="false" outlineLevel="0" collapsed="false">
      <c r="A4" s="0" t="s">
        <v>24</v>
      </c>
      <c r="B4" s="0" t="n">
        <v>537</v>
      </c>
      <c r="C4" s="0" t="n">
        <v>204</v>
      </c>
      <c r="D4" s="0" t="n">
        <v>616</v>
      </c>
      <c r="E4" s="0" t="n">
        <v>964</v>
      </c>
      <c r="F4" s="0" t="n">
        <f aca="false">SUM(B4:E4)</f>
        <v>2321</v>
      </c>
    </row>
    <row r="5" customFormat="false" ht="15" hidden="false" customHeight="false" outlineLevel="0" collapsed="false">
      <c r="A5" s="0" t="s">
        <v>25</v>
      </c>
      <c r="B5" s="0" t="n">
        <v>1092</v>
      </c>
      <c r="C5" s="0" t="n">
        <v>875</v>
      </c>
      <c r="D5" s="0" t="n">
        <v>1214</v>
      </c>
      <c r="E5" s="0" t="n">
        <v>212</v>
      </c>
      <c r="F5" s="0" t="n">
        <f aca="false">SUM(B5:E5)</f>
        <v>3393</v>
      </c>
    </row>
    <row r="6" customFormat="false" ht="15" hidden="false" customHeight="false" outlineLevel="0" collapsed="false">
      <c r="A6" s="0" t="s">
        <v>26</v>
      </c>
      <c r="B6" s="0" t="n">
        <v>1369</v>
      </c>
      <c r="C6" s="0" t="n">
        <v>376</v>
      </c>
      <c r="D6" s="0" t="n">
        <v>1268</v>
      </c>
      <c r="E6" s="0" t="n">
        <v>555</v>
      </c>
      <c r="F6" s="0" t="n">
        <f aca="false">SUM(B6:E6)</f>
        <v>3568</v>
      </c>
    </row>
    <row r="7" customFormat="false" ht="15" hidden="false" customHeight="false" outlineLevel="0" collapsed="false">
      <c r="A7" s="0" t="s">
        <v>16</v>
      </c>
      <c r="B7" s="0" t="n">
        <f aca="false">SUM(B2:B6)</f>
        <v>4635</v>
      </c>
      <c r="C7" s="0" t="n">
        <f aca="false">SUM(C2:C6)</f>
        <v>3641</v>
      </c>
      <c r="D7" s="0" t="n">
        <f aca="false">SUM(D2:D6)</f>
        <v>3634</v>
      </c>
      <c r="E7" s="0" t="n">
        <f aca="false">SUM(E2:E6)</f>
        <v>2485</v>
      </c>
      <c r="F7" s="0" t="n">
        <f aca="false">SUM(F2:F6)</f>
        <v>14395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</row>
    <row r="2" customFormat="false" ht="15" hidden="false" customHeight="false" outlineLevel="0" collapsed="false">
      <c r="A2" s="0" t="s">
        <v>29</v>
      </c>
      <c r="B2" s="0" t="n">
        <f aca="false">Ricavi!F8</f>
        <v>22448</v>
      </c>
    </row>
    <row r="3" customFormat="false" ht="15" hidden="false" customHeight="false" outlineLevel="0" collapsed="false">
      <c r="A3" s="0" t="s">
        <v>30</v>
      </c>
      <c r="B3" s="0" t="n">
        <f aca="false">Costi!F7</f>
        <v>14395</v>
      </c>
    </row>
    <row r="4" customFormat="false" ht="15" hidden="false" customHeight="false" outlineLevel="0" collapsed="false">
      <c r="A4" s="0" t="s">
        <v>31</v>
      </c>
      <c r="B4" s="0" t="n">
        <f aca="false">B3*(1+Ipotesi!B3)</f>
        <v>14754.875</v>
      </c>
    </row>
    <row r="5" customFormat="false" ht="15" hidden="false" customHeight="false" outlineLevel="0" collapsed="false">
      <c r="A5" s="0" t="s">
        <v>32</v>
      </c>
      <c r="B5" s="0" t="n">
        <f aca="false">B2-B4</f>
        <v>7693.125</v>
      </c>
    </row>
    <row r="6" customFormat="false" ht="15" hidden="false" customHeight="false" outlineLevel="0" collapsed="false">
      <c r="A6" s="0" t="s">
        <v>33</v>
      </c>
      <c r="B6" s="0" t="n">
        <f aca="false">B5/B2</f>
        <v>0.342708704561654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2026-10-16T09:00:00Z</dcterms:created>
  <dc:creator>Ufficio Controllo di Gestione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