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Giacenze" sheetId="1" state="visible" r:id="rId2"/>
    <sheet name="Fornitori" sheetId="2" state="visible" r:id="rId3"/>
    <sheet name="Riordino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<sst xmlns="http://schemas.openxmlformats.org/spreadsheetml/2006/main" count="6073" uniqueCount="3663">
  <si>
    <t xml:space="preserve">Codice</t>
  </si>
  <si>
    <t xml:space="preserve">Descrizione</t>
  </si>
  <si>
    <t xml:space="preserve">Ubicazione</t>
  </si>
  <si>
    <t xml:space="preserve">Fornitore</t>
  </si>
  <si>
    <t xml:space="preserve">Ragione sociale</t>
  </si>
  <si>
    <t xml:space="preserve">Giacenza</t>
  </si>
  <si>
    <t xml:space="preserve">Scorta minima</t>
  </si>
  <si>
    <t xml:space="preserve">Da riordinare</t>
  </si>
  <si>
    <t xml:space="preserve">RIC-10000</t>
  </si>
  <si>
    <t xml:space="preserve">Cuscinetto rinforzato 29 mm</t>
  </si>
  <si>
    <t xml:space="preserve">S7-F02</t>
  </si>
  <si>
    <t xml:space="preserve">F01</t>
  </si>
  <si>
    <t xml:space="preserve">RIC-10007</t>
  </si>
  <si>
    <t xml:space="preserve">Cinghia dentata tipo A 56 mm</t>
  </si>
  <si>
    <t xml:space="preserve">S1-E07</t>
  </si>
  <si>
    <t xml:space="preserve">F02</t>
  </si>
  <si>
    <t xml:space="preserve">RIC-10014</t>
  </si>
  <si>
    <t xml:space="preserve">Sensore induttivo inox 63 mm</t>
  </si>
  <si>
    <t xml:space="preserve">S2-B03</t>
  </si>
  <si>
    <t xml:space="preserve">F03</t>
  </si>
  <si>
    <t xml:space="preserve">RIC-10021</t>
  </si>
  <si>
    <t xml:space="preserve">Elettrovalvola tipo A 82 mm</t>
  </si>
  <si>
    <t xml:space="preserve">S2-B21</t>
  </si>
  <si>
    <t xml:space="preserve">F04</t>
  </si>
  <si>
    <t xml:space="preserve">RIC-10028</t>
  </si>
  <si>
    <t xml:space="preserve">Guarnizione tipo A 83 mm</t>
  </si>
  <si>
    <t xml:space="preserve">S7-A08</t>
  </si>
  <si>
    <t xml:space="preserve">F05</t>
  </si>
  <si>
    <t xml:space="preserve">RIC-10035</t>
  </si>
  <si>
    <t xml:space="preserve">Motoriduttore tipo B 47 mm</t>
  </si>
  <si>
    <t xml:space="preserve">S7-B18</t>
  </si>
  <si>
    <t xml:space="preserve">RIC-10042</t>
  </si>
  <si>
    <t xml:space="preserve">Fotocellula rinforzato 81 mm</t>
  </si>
  <si>
    <t xml:space="preserve">S3-A19</t>
  </si>
  <si>
    <t xml:space="preserve">RIC-10049</t>
  </si>
  <si>
    <t xml:space="preserve">Encoder rinforzato 22 mm</t>
  </si>
  <si>
    <t xml:space="preserve">S2-E02</t>
  </si>
  <si>
    <t xml:space="preserve">RIC-10056</t>
  </si>
  <si>
    <t xml:space="preserve">Lama di taglio inox 97 mm</t>
  </si>
  <si>
    <t xml:space="preserve">S7-C15</t>
  </si>
  <si>
    <t xml:space="preserve">RIC-10063</t>
  </si>
  <si>
    <t xml:space="preserve">Rullo trasportatore rinforzato 48 mm</t>
  </si>
  <si>
    <t xml:space="preserve">S4-B23</t>
  </si>
  <si>
    <t xml:space="preserve">RIC-10070</t>
  </si>
  <si>
    <t xml:space="preserve">Cuscinetto tipo A 83 mm</t>
  </si>
  <si>
    <t xml:space="preserve">S5-E16</t>
  </si>
  <si>
    <t xml:space="preserve">RIC-10077</t>
  </si>
  <si>
    <t xml:space="preserve">Cinghia dentata inox 46 mm</t>
  </si>
  <si>
    <t xml:space="preserve">S2-A17</t>
  </si>
  <si>
    <t xml:space="preserve">RIC-10084</t>
  </si>
  <si>
    <t xml:space="preserve">Sensore induttivo rinforzato 29 mm</t>
  </si>
  <si>
    <t xml:space="preserve">S8-D02</t>
  </si>
  <si>
    <t xml:space="preserve">RIC-10091</t>
  </si>
  <si>
    <t xml:space="preserve">Elettrovalvola rinforzato 53 mm</t>
  </si>
  <si>
    <t xml:space="preserve">S6-E16</t>
  </si>
  <si>
    <t xml:space="preserve">RIC-10098</t>
  </si>
  <si>
    <t xml:space="preserve">Guarnizione tipo A 21 mm</t>
  </si>
  <si>
    <t xml:space="preserve">S5-D23</t>
  </si>
  <si>
    <t xml:space="preserve">RIC-10105</t>
  </si>
  <si>
    <t xml:space="preserve">Motoriduttore tipo A 49 mm</t>
  </si>
  <si>
    <t xml:space="preserve">S8-C23</t>
  </si>
  <si>
    <t xml:space="preserve">RIC-10112</t>
  </si>
  <si>
    <t xml:space="preserve">Fotocellula tipo A 69 mm</t>
  </si>
  <si>
    <t xml:space="preserve">S6-B20</t>
  </si>
  <si>
    <t xml:space="preserve">RIC-10119</t>
  </si>
  <si>
    <t xml:space="preserve">Encoder tipo A 37 mm</t>
  </si>
  <si>
    <t xml:space="preserve">S5-B24</t>
  </si>
  <si>
    <t xml:space="preserve">RIC-10126</t>
  </si>
  <si>
    <t xml:space="preserve">Lama di taglio inox 73 mm</t>
  </si>
  <si>
    <t xml:space="preserve">S2-B15</t>
  </si>
  <si>
    <t xml:space="preserve">RIC-10133</t>
  </si>
  <si>
    <t xml:space="preserve">Rullo trasportatore rinforzato 27 mm</t>
  </si>
  <si>
    <t xml:space="preserve">S7-E09</t>
  </si>
  <si>
    <t xml:space="preserve">RIC-10140</t>
  </si>
  <si>
    <t xml:space="preserve">Cuscinetto rinforzato 97 mm</t>
  </si>
  <si>
    <t xml:space="preserve">S7-B05</t>
  </si>
  <si>
    <t xml:space="preserve">RIC-10147</t>
  </si>
  <si>
    <t xml:space="preserve">Cinghia dentata tipo B 39 mm</t>
  </si>
  <si>
    <t xml:space="preserve">S4-A16</t>
  </si>
  <si>
    <t xml:space="preserve">RIC-10154</t>
  </si>
  <si>
    <t xml:space="preserve">Sensore induttivo tipo B 43 mm</t>
  </si>
  <si>
    <t xml:space="preserve">S5-A05</t>
  </si>
  <si>
    <t xml:space="preserve">RIC-10161</t>
  </si>
  <si>
    <t xml:space="preserve">Elettrovalvola rinforzato 88 mm</t>
  </si>
  <si>
    <t xml:space="preserve">S6-B23</t>
  </si>
  <si>
    <t xml:space="preserve">RIC-10168</t>
  </si>
  <si>
    <t xml:space="preserve">Guarnizione tipo A 68 mm</t>
  </si>
  <si>
    <t xml:space="preserve">S7-D13</t>
  </si>
  <si>
    <t xml:space="preserve">RIC-10175</t>
  </si>
  <si>
    <t xml:space="preserve">Motoriduttore inox 91 mm</t>
  </si>
  <si>
    <t xml:space="preserve">S7-A07</t>
  </si>
  <si>
    <t xml:space="preserve">RIC-10182</t>
  </si>
  <si>
    <t xml:space="preserve">Fotocellula inox 30 mm</t>
  </si>
  <si>
    <t xml:space="preserve">S2-C20</t>
  </si>
  <si>
    <t xml:space="preserve">RIC-10189</t>
  </si>
  <si>
    <t xml:space="preserve">Encoder tipo A 82 mm</t>
  </si>
  <si>
    <t xml:space="preserve">S3-E04</t>
  </si>
  <si>
    <t xml:space="preserve">RIC-10196</t>
  </si>
  <si>
    <t xml:space="preserve">Lama di taglio tipo A 19 mm</t>
  </si>
  <si>
    <t xml:space="preserve">S4-E13</t>
  </si>
  <si>
    <t xml:space="preserve">RIC-10203</t>
  </si>
  <si>
    <t xml:space="preserve">Rullo trasportatore rinforzato 87 mm</t>
  </si>
  <si>
    <t xml:space="preserve">S6-D04</t>
  </si>
  <si>
    <t xml:space="preserve">RIC-10210</t>
  </si>
  <si>
    <t xml:space="preserve">Cuscinetto inox 71 mm</t>
  </si>
  <si>
    <t xml:space="preserve">S8-C03</t>
  </si>
  <si>
    <t xml:space="preserve">RIC-10217</t>
  </si>
  <si>
    <t xml:space="preserve">Cinghia dentata rinforzato 43 mm</t>
  </si>
  <si>
    <t xml:space="preserve">S8-F06</t>
  </si>
  <si>
    <t xml:space="preserve">RIC-10224</t>
  </si>
  <si>
    <t xml:space="preserve">Sensore induttivo tipo B 77 mm</t>
  </si>
  <si>
    <t xml:space="preserve">RIC-10231</t>
  </si>
  <si>
    <t xml:space="preserve">Elettrovalvola rinforzato 92 mm</t>
  </si>
  <si>
    <t xml:space="preserve">S2-F28</t>
  </si>
  <si>
    <t xml:space="preserve">RIC-10238</t>
  </si>
  <si>
    <t xml:space="preserve">Guarnizione rinforzato 31 mm</t>
  </si>
  <si>
    <t xml:space="preserve">S6-B18</t>
  </si>
  <si>
    <t xml:space="preserve">RIC-10245</t>
  </si>
  <si>
    <t xml:space="preserve">Motoriduttore rinforzato 91 mm</t>
  </si>
  <si>
    <t xml:space="preserve">S4-E26</t>
  </si>
  <si>
    <t xml:space="preserve">RIC-10252</t>
  </si>
  <si>
    <t xml:space="preserve">Fotocellula tipo B 61 mm</t>
  </si>
  <si>
    <t xml:space="preserve">S4-B17</t>
  </si>
  <si>
    <t xml:space="preserve">RIC-10259</t>
  </si>
  <si>
    <t xml:space="preserve">Encoder tipo A 13 mm</t>
  </si>
  <si>
    <t xml:space="preserve">S5-D09</t>
  </si>
  <si>
    <t xml:space="preserve">RIC-10266</t>
  </si>
  <si>
    <t xml:space="preserve">Lama di taglio rinforzato 67 mm</t>
  </si>
  <si>
    <t xml:space="preserve">S6-C03</t>
  </si>
  <si>
    <t xml:space="preserve">RIC-10273</t>
  </si>
  <si>
    <t xml:space="preserve">Rullo trasportatore tipo B 70 mm</t>
  </si>
  <si>
    <t xml:space="preserve">S4-C07</t>
  </si>
  <si>
    <t xml:space="preserve">RIC-10280</t>
  </si>
  <si>
    <t xml:space="preserve">Cuscinetto tipo A 71 mm</t>
  </si>
  <si>
    <t xml:space="preserve">S6-F03</t>
  </si>
  <si>
    <t xml:space="preserve">RIC-10287</t>
  </si>
  <si>
    <t xml:space="preserve">Cinghia dentata inox 35 mm</t>
  </si>
  <si>
    <t xml:space="preserve">S8-B14</t>
  </si>
  <si>
    <t xml:space="preserve">RIC-10294</t>
  </si>
  <si>
    <t xml:space="preserve">Sensore induttivo tipo A 60 mm</t>
  </si>
  <si>
    <t xml:space="preserve">S8-D24</t>
  </si>
  <si>
    <t xml:space="preserve">RIC-10301</t>
  </si>
  <si>
    <t xml:space="preserve">Elettrovalvola tipo B 26 mm</t>
  </si>
  <si>
    <t xml:space="preserve">S1-B19</t>
  </si>
  <si>
    <t xml:space="preserve">RIC-10308</t>
  </si>
  <si>
    <t xml:space="preserve">Guarnizione tipo B 88 mm</t>
  </si>
  <si>
    <t xml:space="preserve">S8-F12</t>
  </si>
  <si>
    <t xml:space="preserve">RIC-10315</t>
  </si>
  <si>
    <t xml:space="preserve">Motoriduttore tipo B 12 mm</t>
  </si>
  <si>
    <t xml:space="preserve">S1-F21</t>
  </si>
  <si>
    <t xml:space="preserve">RIC-10322</t>
  </si>
  <si>
    <t xml:space="preserve">Fotocellula tipo B 65 mm</t>
  </si>
  <si>
    <t xml:space="preserve">S4-B01</t>
  </si>
  <si>
    <t xml:space="preserve">RIC-10329</t>
  </si>
  <si>
    <t xml:space="preserve">Encoder rinforzato 74 mm</t>
  </si>
  <si>
    <t xml:space="preserve">S4-E11</t>
  </si>
  <si>
    <t xml:space="preserve">RIC-10336</t>
  </si>
  <si>
    <t xml:space="preserve">Lama di taglio inox 26 mm</t>
  </si>
  <si>
    <t xml:space="preserve">S1-F12</t>
  </si>
  <si>
    <t xml:space="preserve">RIC-10343</t>
  </si>
  <si>
    <t xml:space="preserve">Rullo trasportatore inox 74 mm</t>
  </si>
  <si>
    <t xml:space="preserve">S3-E05</t>
  </si>
  <si>
    <t xml:space="preserve">RIC-10350</t>
  </si>
  <si>
    <t xml:space="preserve">Cuscinetto tipo A 66 mm</t>
  </si>
  <si>
    <t xml:space="preserve">S3-E01</t>
  </si>
  <si>
    <t xml:space="preserve">RIC-10357</t>
  </si>
  <si>
    <t xml:space="preserve">Cinghia dentata tipo B 28 mm</t>
  </si>
  <si>
    <t xml:space="preserve">S8-E24</t>
  </si>
  <si>
    <t xml:space="preserve">RIC-10364</t>
  </si>
  <si>
    <t xml:space="preserve">Sensore induttivo tipo A 51 mm</t>
  </si>
  <si>
    <t xml:space="preserve">S8-A29</t>
  </si>
  <si>
    <t xml:space="preserve">RIC-10371</t>
  </si>
  <si>
    <t xml:space="preserve">Elettrovalvola tipo B 34 mm</t>
  </si>
  <si>
    <t xml:space="preserve">S5-A25</t>
  </si>
  <si>
    <t xml:space="preserve">RIC-10378</t>
  </si>
  <si>
    <t xml:space="preserve">Guarnizione inox 81 mm</t>
  </si>
  <si>
    <t xml:space="preserve">S1-A15</t>
  </si>
  <si>
    <t xml:space="preserve">RIC-10385</t>
  </si>
  <si>
    <t xml:space="preserve">Motoriduttore tipo B 98 mm</t>
  </si>
  <si>
    <t xml:space="preserve">S5-D17</t>
  </si>
  <si>
    <t xml:space="preserve">RIC-10392</t>
  </si>
  <si>
    <t xml:space="preserve">Fotocellula tipo B 76 mm</t>
  </si>
  <si>
    <t xml:space="preserve">S5-E29</t>
  </si>
  <si>
    <t xml:space="preserve">RIC-10399</t>
  </si>
  <si>
    <t xml:space="preserve">Encoder tipo B 63 mm</t>
  </si>
  <si>
    <t xml:space="preserve">S2-D15</t>
  </si>
  <si>
    <t xml:space="preserve">RIC-10406</t>
  </si>
  <si>
    <t xml:space="preserve">Lama di taglio tipo B 64 mm</t>
  </si>
  <si>
    <t xml:space="preserve">S2-B22</t>
  </si>
  <si>
    <t xml:space="preserve">RIC-10413</t>
  </si>
  <si>
    <t xml:space="preserve">Rullo trasportatore tipo B 92 mm</t>
  </si>
  <si>
    <t xml:space="preserve">S6-B09</t>
  </si>
  <si>
    <t xml:space="preserve">RIC-10420</t>
  </si>
  <si>
    <t xml:space="preserve">Cuscinetto inox 38 mm</t>
  </si>
  <si>
    <t xml:space="preserve">S2-D29</t>
  </si>
  <si>
    <t xml:space="preserve">RIC-10427</t>
  </si>
  <si>
    <t xml:space="preserve">Cinghia dentata tipo B 30 mm</t>
  </si>
  <si>
    <t xml:space="preserve">S7-E13</t>
  </si>
  <si>
    <t xml:space="preserve">RIC-10434</t>
  </si>
  <si>
    <t xml:space="preserve">Sensore induttivo tipo B 55 mm</t>
  </si>
  <si>
    <t xml:space="preserve">S6-A24</t>
  </si>
  <si>
    <t xml:space="preserve">RIC-10441</t>
  </si>
  <si>
    <t xml:space="preserve">Elettrovalvola rinforzato 80 mm</t>
  </si>
  <si>
    <t xml:space="preserve">S8-D23</t>
  </si>
  <si>
    <t xml:space="preserve">RIC-10448</t>
  </si>
  <si>
    <t xml:space="preserve">Guarnizione rinforzato 76 mm</t>
  </si>
  <si>
    <t xml:space="preserve">S5-E03</t>
  </si>
  <si>
    <t xml:space="preserve">RIC-10455</t>
  </si>
  <si>
    <t xml:space="preserve">Motoriduttore tipo A 20 mm</t>
  </si>
  <si>
    <t xml:space="preserve">S5-C02</t>
  </si>
  <si>
    <t xml:space="preserve">RIC-10462</t>
  </si>
  <si>
    <t xml:space="preserve">Fotocellula rinforzato 26 mm</t>
  </si>
  <si>
    <t xml:space="preserve">S7-F27</t>
  </si>
  <si>
    <t xml:space="preserve">RIC-10469</t>
  </si>
  <si>
    <t xml:space="preserve">Encoder tipo B 78 mm</t>
  </si>
  <si>
    <t xml:space="preserve">S8-F11</t>
  </si>
  <si>
    <t xml:space="preserve">RIC-10476</t>
  </si>
  <si>
    <t xml:space="preserve">Lama di taglio tipo A 98 mm</t>
  </si>
  <si>
    <t xml:space="preserve">S3-D29</t>
  </si>
  <si>
    <t xml:space="preserve">RIC-10483</t>
  </si>
  <si>
    <t xml:space="preserve">Rullo trasportatore tipo A 91 mm</t>
  </si>
  <si>
    <t xml:space="preserve">S2-C03</t>
  </si>
  <si>
    <t xml:space="preserve">RIC-10490</t>
  </si>
  <si>
    <t xml:space="preserve">Cuscinetto tipo A 43 mm</t>
  </si>
  <si>
    <t xml:space="preserve">S2-D01</t>
  </si>
  <si>
    <t xml:space="preserve">RIC-10497</t>
  </si>
  <si>
    <t xml:space="preserve">Cinghia dentata inox 44 mm</t>
  </si>
  <si>
    <t xml:space="preserve">S3-A17</t>
  </si>
  <si>
    <t xml:space="preserve">RIC-10504</t>
  </si>
  <si>
    <t xml:space="preserve">Sensore induttivo tipo A 30 mm</t>
  </si>
  <si>
    <t xml:space="preserve">S5-A06</t>
  </si>
  <si>
    <t xml:space="preserve">RIC-10511</t>
  </si>
  <si>
    <t xml:space="preserve">Elettrovalvola rinforzato 77 mm</t>
  </si>
  <si>
    <t xml:space="preserve">S4-C15</t>
  </si>
  <si>
    <t xml:space="preserve">RIC-10518</t>
  </si>
  <si>
    <t xml:space="preserve">Guarnizione rinforzato 54 mm</t>
  </si>
  <si>
    <t xml:space="preserve">S1-C02</t>
  </si>
  <si>
    <t xml:space="preserve">RIC-10525</t>
  </si>
  <si>
    <t xml:space="preserve">Motoriduttore tipo B 75 mm</t>
  </si>
  <si>
    <t xml:space="preserve">S8-B15</t>
  </si>
  <si>
    <t xml:space="preserve">RIC-10532</t>
  </si>
  <si>
    <t xml:space="preserve">Fotocellula inox 79 mm</t>
  </si>
  <si>
    <t xml:space="preserve">S7-E10</t>
  </si>
  <si>
    <t xml:space="preserve">RIC-10539</t>
  </si>
  <si>
    <t xml:space="preserve">Encoder tipo B 53 mm</t>
  </si>
  <si>
    <t xml:space="preserve">S4-F24</t>
  </si>
  <si>
    <t xml:space="preserve">RIC-10546</t>
  </si>
  <si>
    <t xml:space="preserve">Lama di taglio inox 54 mm</t>
  </si>
  <si>
    <t xml:space="preserve">S1-B01</t>
  </si>
  <si>
    <t xml:space="preserve">RIC-10553</t>
  </si>
  <si>
    <t xml:space="preserve">Rullo trasportatore inox 30 mm</t>
  </si>
  <si>
    <t xml:space="preserve">S1-A22</t>
  </si>
  <si>
    <t xml:space="preserve">RIC-10560</t>
  </si>
  <si>
    <t xml:space="preserve">Cuscinetto rinforzato 86 mm</t>
  </si>
  <si>
    <t xml:space="preserve">S4-F10</t>
  </si>
  <si>
    <t xml:space="preserve">RIC-10567</t>
  </si>
  <si>
    <t xml:space="preserve">S5-D01</t>
  </si>
  <si>
    <t xml:space="preserve">RIC-10574</t>
  </si>
  <si>
    <t xml:space="preserve">Sensore induttivo rinforzato 80 mm</t>
  </si>
  <si>
    <t xml:space="preserve">S6-B02</t>
  </si>
  <si>
    <t xml:space="preserve">RIC-10581</t>
  </si>
  <si>
    <t xml:space="preserve">Elettrovalvola tipo B 55 mm</t>
  </si>
  <si>
    <t xml:space="preserve">S3-A11</t>
  </si>
  <si>
    <t xml:space="preserve">RIC-10588</t>
  </si>
  <si>
    <t xml:space="preserve">Guarnizione inox 45 mm</t>
  </si>
  <si>
    <t xml:space="preserve">RIC-10595</t>
  </si>
  <si>
    <t xml:space="preserve">Motoriduttore tipo A 43 mm</t>
  </si>
  <si>
    <t xml:space="preserve">S2-B13</t>
  </si>
  <si>
    <t xml:space="preserve">RIC-10602</t>
  </si>
  <si>
    <t xml:space="preserve">Fotocellula inox 12 mm</t>
  </si>
  <si>
    <t xml:space="preserve">S5-C21</t>
  </si>
  <si>
    <t xml:space="preserve">RIC-10609</t>
  </si>
  <si>
    <t xml:space="preserve">Encoder tipo B 94 mm</t>
  </si>
  <si>
    <t xml:space="preserve">S7-C24</t>
  </si>
  <si>
    <t xml:space="preserve">RIC-10616</t>
  </si>
  <si>
    <t xml:space="preserve">Lama di taglio rinforzato 89 mm</t>
  </si>
  <si>
    <t xml:space="preserve">S3-A27</t>
  </si>
  <si>
    <t xml:space="preserve">RIC-10623</t>
  </si>
  <si>
    <t xml:space="preserve">S3-E25</t>
  </si>
  <si>
    <t xml:space="preserve">RIC-10630</t>
  </si>
  <si>
    <t xml:space="preserve">Cuscinetto tipo A 97 mm</t>
  </si>
  <si>
    <t xml:space="preserve">S4-A01</t>
  </si>
  <si>
    <t xml:space="preserve">RIC-10637</t>
  </si>
  <si>
    <t xml:space="preserve">Cinghia dentata rinforzato 23 mm</t>
  </si>
  <si>
    <t xml:space="preserve">S7-D18</t>
  </si>
  <si>
    <t xml:space="preserve">RIC-10644</t>
  </si>
  <si>
    <t xml:space="preserve">Sensore induttivo tipo B 72 mm</t>
  </si>
  <si>
    <t xml:space="preserve">S5-A15</t>
  </si>
  <si>
    <t xml:space="preserve">RIC-10651</t>
  </si>
  <si>
    <t xml:space="preserve">Elettrovalvola tipo A 94 mm</t>
  </si>
  <si>
    <t xml:space="preserve">S2-F24</t>
  </si>
  <si>
    <t xml:space="preserve">RIC-10658</t>
  </si>
  <si>
    <t xml:space="preserve">Guarnizione tipo A 43 mm</t>
  </si>
  <si>
    <t xml:space="preserve">S4-F25</t>
  </si>
  <si>
    <t xml:space="preserve">RIC-10665</t>
  </si>
  <si>
    <t xml:space="preserve">Motoriduttore inox 73 mm</t>
  </si>
  <si>
    <t xml:space="preserve">S7-A16</t>
  </si>
  <si>
    <t xml:space="preserve">RIC-10672</t>
  </si>
  <si>
    <t xml:space="preserve">Fotocellula tipo A 88 mm</t>
  </si>
  <si>
    <t xml:space="preserve">S4-A20</t>
  </si>
  <si>
    <t xml:space="preserve">RIC-10679</t>
  </si>
  <si>
    <t xml:space="preserve">Encoder rinforzato 93 mm</t>
  </si>
  <si>
    <t xml:space="preserve">S5-E19</t>
  </si>
  <si>
    <t xml:space="preserve">RIC-10686</t>
  </si>
  <si>
    <t xml:space="preserve">Lama di taglio inox 17 mm</t>
  </si>
  <si>
    <t xml:space="preserve">S8-C22</t>
  </si>
  <si>
    <t xml:space="preserve">RIC-10693</t>
  </si>
  <si>
    <t xml:space="preserve">Rullo trasportatore inox 47 mm</t>
  </si>
  <si>
    <t xml:space="preserve">S5-D15</t>
  </si>
  <si>
    <t xml:space="preserve">RIC-10700</t>
  </si>
  <si>
    <t xml:space="preserve">Cuscinetto tipo B 49 mm</t>
  </si>
  <si>
    <t xml:space="preserve">RIC-10707</t>
  </si>
  <si>
    <t xml:space="preserve">Cinghia dentata tipo A 74 mm</t>
  </si>
  <si>
    <t xml:space="preserve">S8-C13</t>
  </si>
  <si>
    <t xml:space="preserve">RIC-10714</t>
  </si>
  <si>
    <t xml:space="preserve">Sensore induttivo tipo A 84 mm</t>
  </si>
  <si>
    <t xml:space="preserve">S2-B24</t>
  </si>
  <si>
    <t xml:space="preserve">RIC-10721</t>
  </si>
  <si>
    <t xml:space="preserve">Elettrovalvola rinforzato 26 mm</t>
  </si>
  <si>
    <t xml:space="preserve">S5-A23</t>
  </si>
  <si>
    <t xml:space="preserve">RIC-10728</t>
  </si>
  <si>
    <t xml:space="preserve">Guarnizione inox 72 mm</t>
  </si>
  <si>
    <t xml:space="preserve">S7-A06</t>
  </si>
  <si>
    <t xml:space="preserve">RIC-10735</t>
  </si>
  <si>
    <t xml:space="preserve">Motoriduttore inox 61 mm</t>
  </si>
  <si>
    <t xml:space="preserve">S5-F05</t>
  </si>
  <si>
    <t xml:space="preserve">RIC-10742</t>
  </si>
  <si>
    <t xml:space="preserve">Fotocellula inox 50 mm</t>
  </si>
  <si>
    <t xml:space="preserve">S2-C01</t>
  </si>
  <si>
    <t xml:space="preserve">RIC-10749</t>
  </si>
  <si>
    <t xml:space="preserve">Encoder inox 25 mm</t>
  </si>
  <si>
    <t xml:space="preserve">S4-F01</t>
  </si>
  <si>
    <t xml:space="preserve">RIC-10756</t>
  </si>
  <si>
    <t xml:space="preserve">Lama di taglio rinforzato 57 mm</t>
  </si>
  <si>
    <t xml:space="preserve">S2-D13</t>
  </si>
  <si>
    <t xml:space="preserve">RIC-10763</t>
  </si>
  <si>
    <t xml:space="preserve">Rullo trasportatore tipo A 56 mm</t>
  </si>
  <si>
    <t xml:space="preserve">S7-C28</t>
  </si>
  <si>
    <t xml:space="preserve">RIC-10770</t>
  </si>
  <si>
    <t xml:space="preserve">Cuscinetto tipo A 16 mm</t>
  </si>
  <si>
    <t xml:space="preserve">RIC-10777</t>
  </si>
  <si>
    <t xml:space="preserve">Cinghia dentata inox 75 mm</t>
  </si>
  <si>
    <t xml:space="preserve">S6-B25</t>
  </si>
  <si>
    <t xml:space="preserve">RIC-10784</t>
  </si>
  <si>
    <t xml:space="preserve">Sensore induttivo tipo A 90 mm</t>
  </si>
  <si>
    <t xml:space="preserve">S7-E18</t>
  </si>
  <si>
    <t xml:space="preserve">RIC-10791</t>
  </si>
  <si>
    <t xml:space="preserve">Elettrovalvola tipo A 62 mm</t>
  </si>
  <si>
    <t xml:space="preserve">S8-E25</t>
  </si>
  <si>
    <t xml:space="preserve">RIC-10798</t>
  </si>
  <si>
    <t xml:space="preserve">Guarnizione inox 16 mm</t>
  </si>
  <si>
    <t xml:space="preserve">S3-B16</t>
  </si>
  <si>
    <t xml:space="preserve">RIC-10805</t>
  </si>
  <si>
    <t xml:space="preserve">Motoriduttore rinforzato 48 mm</t>
  </si>
  <si>
    <t xml:space="preserve">S5-F24</t>
  </si>
  <si>
    <t xml:space="preserve">RIC-10812</t>
  </si>
  <si>
    <t xml:space="preserve">Fotocellula inox 93 mm</t>
  </si>
  <si>
    <t xml:space="preserve">S4-C16</t>
  </si>
  <si>
    <t xml:space="preserve">RIC-10819</t>
  </si>
  <si>
    <t xml:space="preserve">Encoder tipo A 31 mm</t>
  </si>
  <si>
    <t xml:space="preserve">S3-A07</t>
  </si>
  <si>
    <t xml:space="preserve">RIC-10826</t>
  </si>
  <si>
    <t xml:space="preserve">Lama di taglio tipo B 67 mm</t>
  </si>
  <si>
    <t xml:space="preserve">S6-D14</t>
  </si>
  <si>
    <t xml:space="preserve">RIC-10833</t>
  </si>
  <si>
    <t xml:space="preserve">Rullo trasportatore tipo B 41 mm</t>
  </si>
  <si>
    <t xml:space="preserve">S2-B11</t>
  </si>
  <si>
    <t xml:space="preserve">RIC-10840</t>
  </si>
  <si>
    <t xml:space="preserve">Cuscinetto rinforzato 40 mm</t>
  </si>
  <si>
    <t xml:space="preserve">S6-C26</t>
  </si>
  <si>
    <t xml:space="preserve">RIC-10847</t>
  </si>
  <si>
    <t xml:space="preserve">Cinghia dentata tipo A 62 mm</t>
  </si>
  <si>
    <t xml:space="preserve">S7-D24</t>
  </si>
  <si>
    <t xml:space="preserve">RIC-10854</t>
  </si>
  <si>
    <t xml:space="preserve">Sensore induttivo inox 44 mm</t>
  </si>
  <si>
    <t xml:space="preserve">S6-A16</t>
  </si>
  <si>
    <t xml:space="preserve">RIC-10861</t>
  </si>
  <si>
    <t xml:space="preserve">S4-A09</t>
  </si>
  <si>
    <t xml:space="preserve">RIC-10868</t>
  </si>
  <si>
    <t xml:space="preserve">Guarnizione inox 61 mm</t>
  </si>
  <si>
    <t xml:space="preserve">S8-D10</t>
  </si>
  <si>
    <t xml:space="preserve">RIC-10875</t>
  </si>
  <si>
    <t xml:space="preserve">Motoriduttore tipo B 14 mm</t>
  </si>
  <si>
    <t xml:space="preserve">S7-F25</t>
  </si>
  <si>
    <t xml:space="preserve">RIC-10882</t>
  </si>
  <si>
    <t xml:space="preserve">Fotocellula inox 10 mm</t>
  </si>
  <si>
    <t xml:space="preserve">S2-D27</t>
  </si>
  <si>
    <t xml:space="preserve">RIC-10889</t>
  </si>
  <si>
    <t xml:space="preserve">Encoder inox 41 mm</t>
  </si>
  <si>
    <t xml:space="preserve">S2-B05</t>
  </si>
  <si>
    <t xml:space="preserve">RIC-10896</t>
  </si>
  <si>
    <t xml:space="preserve">Lama di taglio tipo A 92 mm</t>
  </si>
  <si>
    <t xml:space="preserve">S8-A18</t>
  </si>
  <si>
    <t xml:space="preserve">RIC-10903</t>
  </si>
  <si>
    <t xml:space="preserve">Rullo trasportatore tipo A 26 mm</t>
  </si>
  <si>
    <t xml:space="preserve">S4-E02</t>
  </si>
  <si>
    <t xml:space="preserve">RIC-10910</t>
  </si>
  <si>
    <t xml:space="preserve">Cuscinetto tipo B 90 mm</t>
  </si>
  <si>
    <t xml:space="preserve">S5-E21</t>
  </si>
  <si>
    <t xml:space="preserve">RIC-10917</t>
  </si>
  <si>
    <t xml:space="preserve">Cinghia dentata tipo A 19 mm</t>
  </si>
  <si>
    <t xml:space="preserve">RIC-10924</t>
  </si>
  <si>
    <t xml:space="preserve">Sensore induttivo rinforzato 38 mm</t>
  </si>
  <si>
    <t xml:space="preserve">S1-A18</t>
  </si>
  <si>
    <t xml:space="preserve">RIC-10931</t>
  </si>
  <si>
    <t xml:space="preserve">Elettrovalvola rinforzato 50 mm</t>
  </si>
  <si>
    <t xml:space="preserve">S4-D17</t>
  </si>
  <si>
    <t xml:space="preserve">RIC-10938</t>
  </si>
  <si>
    <t xml:space="preserve">Guarnizione tipo B 13 mm</t>
  </si>
  <si>
    <t xml:space="preserve">S7-F21</t>
  </si>
  <si>
    <t xml:space="preserve">RIC-10945</t>
  </si>
  <si>
    <t xml:space="preserve">Motoriduttore tipo A 34 mm</t>
  </si>
  <si>
    <t xml:space="preserve">S8-F21</t>
  </si>
  <si>
    <t xml:space="preserve">RIC-10952</t>
  </si>
  <si>
    <t xml:space="preserve">Fotocellula rinforzato 39 mm</t>
  </si>
  <si>
    <t xml:space="preserve">S7-C08</t>
  </si>
  <si>
    <t xml:space="preserve">RIC-10959</t>
  </si>
  <si>
    <t xml:space="preserve">Encoder rinforzato 63 mm</t>
  </si>
  <si>
    <t xml:space="preserve">S6-F13</t>
  </si>
  <si>
    <t xml:space="preserve">RIC-10966</t>
  </si>
  <si>
    <t xml:space="preserve">Lama di taglio rinforzato 74 mm</t>
  </si>
  <si>
    <t xml:space="preserve">S2-B16</t>
  </si>
  <si>
    <t xml:space="preserve">RIC-10973</t>
  </si>
  <si>
    <t xml:space="preserve">Rullo trasportatore tipo B 39 mm</t>
  </si>
  <si>
    <t xml:space="preserve">S8-B09</t>
  </si>
  <si>
    <t xml:space="preserve">RIC-10980</t>
  </si>
  <si>
    <t xml:space="preserve">Cuscinetto tipo A 89 mm</t>
  </si>
  <si>
    <t xml:space="preserve">S8-E06</t>
  </si>
  <si>
    <t xml:space="preserve">RIC-10987</t>
  </si>
  <si>
    <t xml:space="preserve">Cinghia dentata inox 63 mm</t>
  </si>
  <si>
    <t xml:space="preserve">S1-E05</t>
  </si>
  <si>
    <t xml:space="preserve">RIC-10994</t>
  </si>
  <si>
    <t xml:space="preserve">Sensore induttivo tipo A 37 mm</t>
  </si>
  <si>
    <t xml:space="preserve">RIC-11001</t>
  </si>
  <si>
    <t xml:space="preserve">Elettrovalvola tipo A 33 mm</t>
  </si>
  <si>
    <t xml:space="preserve">S7-D29</t>
  </si>
  <si>
    <t xml:space="preserve">RIC-11008</t>
  </si>
  <si>
    <t xml:space="preserve">Guarnizione tipo A 20 mm</t>
  </si>
  <si>
    <t xml:space="preserve">S3-C07</t>
  </si>
  <si>
    <t xml:space="preserve">RIC-11015</t>
  </si>
  <si>
    <t xml:space="preserve">Motoriduttore inox 14 mm</t>
  </si>
  <si>
    <t xml:space="preserve">RIC-11022</t>
  </si>
  <si>
    <t xml:space="preserve">Fotocellula rinforzato 66 mm</t>
  </si>
  <si>
    <t xml:space="preserve">S3-A01</t>
  </si>
  <si>
    <t xml:space="preserve">RIC-11029</t>
  </si>
  <si>
    <t xml:space="preserve">Encoder tipo A 54 mm</t>
  </si>
  <si>
    <t xml:space="preserve">S7-A18</t>
  </si>
  <si>
    <t xml:space="preserve">RIC-11036</t>
  </si>
  <si>
    <t xml:space="preserve">Lama di taglio inox 55 mm</t>
  </si>
  <si>
    <t xml:space="preserve">S5-D03</t>
  </si>
  <si>
    <t xml:space="preserve">RIC-11043</t>
  </si>
  <si>
    <t xml:space="preserve">Rullo trasportatore tipo B 57 mm</t>
  </si>
  <si>
    <t xml:space="preserve">S8-B11</t>
  </si>
  <si>
    <t xml:space="preserve">RIC-11050</t>
  </si>
  <si>
    <t xml:space="preserve">Cuscinetto tipo A 90 mm</t>
  </si>
  <si>
    <t xml:space="preserve">S7-B26</t>
  </si>
  <si>
    <t xml:space="preserve">RIC-11057</t>
  </si>
  <si>
    <t xml:space="preserve">Cinghia dentata tipo A 58 mm</t>
  </si>
  <si>
    <t xml:space="preserve">S1-D03</t>
  </si>
  <si>
    <t xml:space="preserve">RIC-11064</t>
  </si>
  <si>
    <t xml:space="preserve">Sensore induttivo rinforzato 34 mm</t>
  </si>
  <si>
    <t xml:space="preserve">S2-E11</t>
  </si>
  <si>
    <t xml:space="preserve">RIC-11071</t>
  </si>
  <si>
    <t xml:space="preserve">S1-C24</t>
  </si>
  <si>
    <t xml:space="preserve">RIC-11078</t>
  </si>
  <si>
    <t xml:space="preserve">Guarnizione rinforzato 48 mm</t>
  </si>
  <si>
    <t xml:space="preserve">S1-F25</t>
  </si>
  <si>
    <t xml:space="preserve">RIC-11085</t>
  </si>
  <si>
    <t xml:space="preserve">Motoriduttore tipo A 39 mm</t>
  </si>
  <si>
    <t xml:space="preserve">S2-D23</t>
  </si>
  <si>
    <t xml:space="preserve">RIC-11092</t>
  </si>
  <si>
    <t xml:space="preserve">Fotocellula rinforzato 65 mm</t>
  </si>
  <si>
    <t xml:space="preserve">S8-B16</t>
  </si>
  <si>
    <t xml:space="preserve">RIC-11099</t>
  </si>
  <si>
    <t xml:space="preserve">Encoder rinforzato 98 mm</t>
  </si>
  <si>
    <t xml:space="preserve">S3-E08</t>
  </si>
  <si>
    <t xml:space="preserve">RIC-11106</t>
  </si>
  <si>
    <t xml:space="preserve">Lama di taglio inox 56 mm</t>
  </si>
  <si>
    <t xml:space="preserve">S2-E07</t>
  </si>
  <si>
    <t xml:space="preserve">RIC-11113</t>
  </si>
  <si>
    <t xml:space="preserve">Rullo trasportatore tipo B 62 mm</t>
  </si>
  <si>
    <t xml:space="preserve">S2-F02</t>
  </si>
  <si>
    <t xml:space="preserve">RIC-11120</t>
  </si>
  <si>
    <t xml:space="preserve">Cuscinetto rinforzato 30 mm</t>
  </si>
  <si>
    <t xml:space="preserve">S7-A03</t>
  </si>
  <si>
    <t xml:space="preserve">RIC-11127</t>
  </si>
  <si>
    <t xml:space="preserve">Cinghia dentata tipo A 36 mm</t>
  </si>
  <si>
    <t xml:space="preserve">S2-D16</t>
  </si>
  <si>
    <t xml:space="preserve">RIC-11134</t>
  </si>
  <si>
    <t xml:space="preserve">Sensore induttivo tipo B 39 mm</t>
  </si>
  <si>
    <t xml:space="preserve">S3-D15</t>
  </si>
  <si>
    <t xml:space="preserve">RIC-11141</t>
  </si>
  <si>
    <t xml:space="preserve">Elettrovalvola tipo A 47 mm</t>
  </si>
  <si>
    <t xml:space="preserve">S5-C19</t>
  </si>
  <si>
    <t xml:space="preserve">RIC-11148</t>
  </si>
  <si>
    <t xml:space="preserve">Guarnizione rinforzato 43 mm</t>
  </si>
  <si>
    <t xml:space="preserve">S4-D08</t>
  </si>
  <si>
    <t xml:space="preserve">RIC-11155</t>
  </si>
  <si>
    <t xml:space="preserve">Motoriduttore tipo B 29 mm</t>
  </si>
  <si>
    <t xml:space="preserve">S5-E07</t>
  </si>
  <si>
    <t xml:space="preserve">RIC-11162</t>
  </si>
  <si>
    <t xml:space="preserve">Fotocellula inox 42 mm</t>
  </si>
  <si>
    <t xml:space="preserve">S4-E17</t>
  </si>
  <si>
    <t xml:space="preserve">RIC-11169</t>
  </si>
  <si>
    <t xml:space="preserve">Encoder inox 14 mm</t>
  </si>
  <si>
    <t xml:space="preserve">S2-A16</t>
  </si>
  <si>
    <t xml:space="preserve">RIC-11176</t>
  </si>
  <si>
    <t xml:space="preserve">Lama di taglio inox 57 mm</t>
  </si>
  <si>
    <t xml:space="preserve">S1-C08</t>
  </si>
  <si>
    <t xml:space="preserve">RIC-11183</t>
  </si>
  <si>
    <t xml:space="preserve">Rullo trasportatore tipo B 86 mm</t>
  </si>
  <si>
    <t xml:space="preserve">S4-A12</t>
  </si>
  <si>
    <t xml:space="preserve">RIC-11190</t>
  </si>
  <si>
    <t xml:space="preserve">Cuscinetto inox 87 mm</t>
  </si>
  <si>
    <t xml:space="preserve">S5-F01</t>
  </si>
  <si>
    <t xml:space="preserve">RIC-11197</t>
  </si>
  <si>
    <t xml:space="preserve">Cinghia dentata rinforzato 37 mm</t>
  </si>
  <si>
    <t xml:space="preserve">S1-C11</t>
  </si>
  <si>
    <t xml:space="preserve">RIC-11204</t>
  </si>
  <si>
    <t xml:space="preserve">Sensore induttivo tipo B 42 mm</t>
  </si>
  <si>
    <t xml:space="preserve">S1-E24</t>
  </si>
  <si>
    <t xml:space="preserve">RIC-11211</t>
  </si>
  <si>
    <t xml:space="preserve">Elettrovalvola tipo A 51 mm</t>
  </si>
  <si>
    <t xml:space="preserve">S7-F12</t>
  </si>
  <si>
    <t xml:space="preserve">RIC-11218</t>
  </si>
  <si>
    <t xml:space="preserve">Guarnizione rinforzato 19 mm</t>
  </si>
  <si>
    <t xml:space="preserve">S4-A26</t>
  </si>
  <si>
    <t xml:space="preserve">RIC-11225</t>
  </si>
  <si>
    <t xml:space="preserve">Motoriduttore inox 18 mm</t>
  </si>
  <si>
    <t xml:space="preserve">S7-A26</t>
  </si>
  <si>
    <t xml:space="preserve">RIC-11232</t>
  </si>
  <si>
    <t xml:space="preserve">Fotocellula tipo B 91 mm</t>
  </si>
  <si>
    <t xml:space="preserve">S2-F06</t>
  </si>
  <si>
    <t xml:space="preserve">RIC-11239</t>
  </si>
  <si>
    <t xml:space="preserve">Encoder inox 46 mm</t>
  </si>
  <si>
    <t xml:space="preserve">S5-D02</t>
  </si>
  <si>
    <t xml:space="preserve">RIC-11246</t>
  </si>
  <si>
    <t xml:space="preserve">Lama di taglio rinforzato 63 mm</t>
  </si>
  <si>
    <t xml:space="preserve">S7-A28</t>
  </si>
  <si>
    <t xml:space="preserve">RIC-11253</t>
  </si>
  <si>
    <t xml:space="preserve">Rullo trasportatore tipo B 60 mm</t>
  </si>
  <si>
    <t xml:space="preserve">S7-B01</t>
  </si>
  <si>
    <t xml:space="preserve">RIC-11260</t>
  </si>
  <si>
    <t xml:space="preserve">Cuscinetto inox 24 mm</t>
  </si>
  <si>
    <t xml:space="preserve">S2-D19</t>
  </si>
  <si>
    <t xml:space="preserve">RIC-11267</t>
  </si>
  <si>
    <t xml:space="preserve">Cinghia dentata inox 30 mm</t>
  </si>
  <si>
    <t xml:space="preserve">S3-A02</t>
  </si>
  <si>
    <t xml:space="preserve">RIC-11274</t>
  </si>
  <si>
    <t xml:space="preserve">Sensore induttivo inox 21 mm</t>
  </si>
  <si>
    <t xml:space="preserve">S6-F17</t>
  </si>
  <si>
    <t xml:space="preserve">RIC-11281</t>
  </si>
  <si>
    <t xml:space="preserve">Elettrovalvola rinforzato 46 mm</t>
  </si>
  <si>
    <t xml:space="preserve">S3-E06</t>
  </si>
  <si>
    <t xml:space="preserve">RIC-11288</t>
  </si>
  <si>
    <t xml:space="preserve">Guarnizione tipo A 59 mm</t>
  </si>
  <si>
    <t xml:space="preserve">S8-B10</t>
  </si>
  <si>
    <t xml:space="preserve">RIC-11295</t>
  </si>
  <si>
    <t xml:space="preserve">Motoriduttore inox 50 mm</t>
  </si>
  <si>
    <t xml:space="preserve">S1-E21</t>
  </si>
  <si>
    <t xml:space="preserve">RIC-11302</t>
  </si>
  <si>
    <t xml:space="preserve">RIC-11309</t>
  </si>
  <si>
    <t xml:space="preserve">Encoder inox 33 mm</t>
  </si>
  <si>
    <t xml:space="preserve">S4-A13</t>
  </si>
  <si>
    <t xml:space="preserve">RIC-11316</t>
  </si>
  <si>
    <t xml:space="preserve">S2-B08</t>
  </si>
  <si>
    <t xml:space="preserve">RIC-11323</t>
  </si>
  <si>
    <t xml:space="preserve">Rullo trasportatore tipo A 81 mm</t>
  </si>
  <si>
    <t xml:space="preserve">S1-F27</t>
  </si>
  <si>
    <t xml:space="preserve">RIC-11330</t>
  </si>
  <si>
    <t xml:space="preserve">Cuscinetto inox 86 mm</t>
  </si>
  <si>
    <t xml:space="preserve">S8-E28</t>
  </si>
  <si>
    <t xml:space="preserve">RIC-11337</t>
  </si>
  <si>
    <t xml:space="preserve">Cinghia dentata inox 49 mm</t>
  </si>
  <si>
    <t xml:space="preserve">S4-D13</t>
  </si>
  <si>
    <t xml:space="preserve">RIC-11344</t>
  </si>
  <si>
    <t xml:space="preserve">Sensore induttivo inox 74 mm</t>
  </si>
  <si>
    <t xml:space="preserve">S8-B01</t>
  </si>
  <si>
    <t xml:space="preserve">RIC-11351</t>
  </si>
  <si>
    <t xml:space="preserve">Elettrovalvola inox 69 mm</t>
  </si>
  <si>
    <t xml:space="preserve">S4-D25</t>
  </si>
  <si>
    <t xml:space="preserve">RIC-11358</t>
  </si>
  <si>
    <t xml:space="preserve">Guarnizione tipo B 70 mm</t>
  </si>
  <si>
    <t xml:space="preserve">RIC-11365</t>
  </si>
  <si>
    <t xml:space="preserve">Motoriduttore inox 56 mm</t>
  </si>
  <si>
    <t xml:space="preserve">S2-D17</t>
  </si>
  <si>
    <t xml:space="preserve">RIC-11372</t>
  </si>
  <si>
    <t xml:space="preserve">Fotocellula tipo A 91 mm</t>
  </si>
  <si>
    <t xml:space="preserve">S3-A24</t>
  </si>
  <si>
    <t xml:space="preserve">RIC-11379</t>
  </si>
  <si>
    <t xml:space="preserve">Encoder tipo A 16 mm</t>
  </si>
  <si>
    <t xml:space="preserve">S7-F26</t>
  </si>
  <si>
    <t xml:space="preserve">RIC-11386</t>
  </si>
  <si>
    <t xml:space="preserve">Lama di taglio tipo A 88 mm</t>
  </si>
  <si>
    <t xml:space="preserve">RIC-11393</t>
  </si>
  <si>
    <t xml:space="preserve">Rullo trasportatore rinforzato 31 mm</t>
  </si>
  <si>
    <t xml:space="preserve">S4-A27</t>
  </si>
  <si>
    <t xml:space="preserve">RIC-11400</t>
  </si>
  <si>
    <t xml:space="preserve">S6-E09</t>
  </si>
  <si>
    <t xml:space="preserve">RIC-11407</t>
  </si>
  <si>
    <t xml:space="preserve">Cinghia dentata tipo B 42 mm</t>
  </si>
  <si>
    <t xml:space="preserve">S8-B19</t>
  </si>
  <si>
    <t xml:space="preserve">RIC-11414</t>
  </si>
  <si>
    <t xml:space="preserve">Sensore induttivo tipo B 50 mm</t>
  </si>
  <si>
    <t xml:space="preserve">S6-A07</t>
  </si>
  <si>
    <t xml:space="preserve">RIC-11421</t>
  </si>
  <si>
    <t xml:space="preserve">Elettrovalvola tipo B 91 mm</t>
  </si>
  <si>
    <t xml:space="preserve">S5-F11</t>
  </si>
  <si>
    <t xml:space="preserve">RIC-11428</t>
  </si>
  <si>
    <t xml:space="preserve">Guarnizione tipo B 43 mm</t>
  </si>
  <si>
    <t xml:space="preserve">RIC-11435</t>
  </si>
  <si>
    <t xml:space="preserve">Motoriduttore inox 81 mm</t>
  </si>
  <si>
    <t xml:space="preserve">S2-C18</t>
  </si>
  <si>
    <t xml:space="preserve">RIC-11442</t>
  </si>
  <si>
    <t xml:space="preserve">Fotocellula rinforzato 43 mm</t>
  </si>
  <si>
    <t xml:space="preserve">S7-C19</t>
  </si>
  <si>
    <t xml:space="preserve">RIC-11449</t>
  </si>
  <si>
    <t xml:space="preserve">Encoder rinforzato 20 mm</t>
  </si>
  <si>
    <t xml:space="preserve">S8-B06</t>
  </si>
  <si>
    <t xml:space="preserve">RIC-11456</t>
  </si>
  <si>
    <t xml:space="preserve">Lama di taglio rinforzato 76 mm</t>
  </si>
  <si>
    <t xml:space="preserve">RIC-11463</t>
  </si>
  <si>
    <t xml:space="preserve">Rullo trasportatore rinforzato 10 mm</t>
  </si>
  <si>
    <t xml:space="preserve">S1-B05</t>
  </si>
  <si>
    <t xml:space="preserve">RIC-11470</t>
  </si>
  <si>
    <t xml:space="preserve">Cuscinetto inox 63 mm</t>
  </si>
  <si>
    <t xml:space="preserve">S6-A05</t>
  </si>
  <si>
    <t xml:space="preserve">RIC-11477</t>
  </si>
  <si>
    <t xml:space="preserve">Cinghia dentata tipo A 12 mm</t>
  </si>
  <si>
    <t xml:space="preserve">S1-A19</t>
  </si>
  <si>
    <t xml:space="preserve">RIC-11484</t>
  </si>
  <si>
    <t xml:space="preserve">Sensore induttivo tipo A 76 mm</t>
  </si>
  <si>
    <t xml:space="preserve">S6-E08</t>
  </si>
  <si>
    <t xml:space="preserve">RIC-11491</t>
  </si>
  <si>
    <t xml:space="preserve">Elettrovalvola rinforzato 85 mm</t>
  </si>
  <si>
    <t xml:space="preserve">S3-B12</t>
  </si>
  <si>
    <t xml:space="preserve">RIC-11498</t>
  </si>
  <si>
    <t xml:space="preserve">Guarnizione tipo B 27 mm</t>
  </si>
  <si>
    <t xml:space="preserve">S1-B23</t>
  </si>
  <si>
    <t xml:space="preserve">RIC-11505</t>
  </si>
  <si>
    <t xml:space="preserve">Motoriduttore tipo A 18 mm</t>
  </si>
  <si>
    <t xml:space="preserve">S3-F26</t>
  </si>
  <si>
    <t xml:space="preserve">RIC-11512</t>
  </si>
  <si>
    <t xml:space="preserve">Fotocellula rinforzato 11 mm</t>
  </si>
  <si>
    <t xml:space="preserve">RIC-11519</t>
  </si>
  <si>
    <t xml:space="preserve">Encoder inox 87 mm</t>
  </si>
  <si>
    <t xml:space="preserve">RIC-11526</t>
  </si>
  <si>
    <t xml:space="preserve">Lama di taglio tipo A 17 mm</t>
  </si>
  <si>
    <t xml:space="preserve">S1-D06</t>
  </si>
  <si>
    <t xml:space="preserve">RIC-11533</t>
  </si>
  <si>
    <t xml:space="preserve">Rullo trasportatore tipo A 23 mm</t>
  </si>
  <si>
    <t xml:space="preserve">S1-E18</t>
  </si>
  <si>
    <t xml:space="preserve">RIC-11540</t>
  </si>
  <si>
    <t xml:space="preserve">Cuscinetto tipo B 62 mm</t>
  </si>
  <si>
    <t xml:space="preserve">S4-E20</t>
  </si>
  <si>
    <t xml:space="preserve">RIC-11547</t>
  </si>
  <si>
    <t xml:space="preserve">Cinghia dentata inox 88 mm</t>
  </si>
  <si>
    <t xml:space="preserve">S3-E10</t>
  </si>
  <si>
    <t xml:space="preserve">RIC-11554</t>
  </si>
  <si>
    <t xml:space="preserve">Sensore induttivo tipo A 71 mm</t>
  </si>
  <si>
    <t xml:space="preserve">S1-D28</t>
  </si>
  <si>
    <t xml:space="preserve">RIC-11561</t>
  </si>
  <si>
    <t xml:space="preserve">Elettrovalvola tipo A 93 mm</t>
  </si>
  <si>
    <t xml:space="preserve">S8-B08</t>
  </si>
  <si>
    <t xml:space="preserve">RIC-11568</t>
  </si>
  <si>
    <t xml:space="preserve">Guarnizione tipo B 92 mm</t>
  </si>
  <si>
    <t xml:space="preserve">S1-A11</t>
  </si>
  <si>
    <t xml:space="preserve">RIC-11575</t>
  </si>
  <si>
    <t xml:space="preserve">Motoriduttore tipo A 44 mm</t>
  </si>
  <si>
    <t xml:space="preserve">RIC-11582</t>
  </si>
  <si>
    <t xml:space="preserve">Fotocellula rinforzato 47 mm</t>
  </si>
  <si>
    <t xml:space="preserve">S4-A29</t>
  </si>
  <si>
    <t xml:space="preserve">RIC-11589</t>
  </si>
  <si>
    <t xml:space="preserve">Encoder tipo B 43 mm</t>
  </si>
  <si>
    <t xml:space="preserve">S4-F07</t>
  </si>
  <si>
    <t xml:space="preserve">RIC-11596</t>
  </si>
  <si>
    <t xml:space="preserve">Lama di taglio tipo B 59 mm</t>
  </si>
  <si>
    <t xml:space="preserve">RIC-11603</t>
  </si>
  <si>
    <t xml:space="preserve">Rullo trasportatore inox 70 mm</t>
  </si>
  <si>
    <t xml:space="preserve">S1-A14</t>
  </si>
  <si>
    <t xml:space="preserve">RIC-11610</t>
  </si>
  <si>
    <t xml:space="preserve">Cuscinetto rinforzato 37 mm</t>
  </si>
  <si>
    <t xml:space="preserve">S7-E19</t>
  </si>
  <si>
    <t xml:space="preserve">RIC-11617</t>
  </si>
  <si>
    <t xml:space="preserve">S1-A04</t>
  </si>
  <si>
    <t xml:space="preserve">RIC-11624</t>
  </si>
  <si>
    <t xml:space="preserve">Sensore induttivo tipo B 54 mm</t>
  </si>
  <si>
    <t xml:space="preserve">S3-F01</t>
  </si>
  <si>
    <t xml:space="preserve">RIC-11631</t>
  </si>
  <si>
    <t xml:space="preserve">Elettrovalvola tipo B 98 mm</t>
  </si>
  <si>
    <t xml:space="preserve">S1-F03</t>
  </si>
  <si>
    <t xml:space="preserve">RIC-11638</t>
  </si>
  <si>
    <t xml:space="preserve">Guarnizione tipo A 85 mm</t>
  </si>
  <si>
    <t xml:space="preserve">S6-B27</t>
  </si>
  <si>
    <t xml:space="preserve">RIC-11645</t>
  </si>
  <si>
    <t xml:space="preserve">Motoriduttore tipo A 59 mm</t>
  </si>
  <si>
    <t xml:space="preserve">S2-B07</t>
  </si>
  <si>
    <t xml:space="preserve">RIC-11652</t>
  </si>
  <si>
    <t xml:space="preserve">Fotocellula tipo A 14 mm</t>
  </si>
  <si>
    <t xml:space="preserve">S2-F21</t>
  </si>
  <si>
    <t xml:space="preserve">RIC-11659</t>
  </si>
  <si>
    <t xml:space="preserve">Encoder tipo A 26 mm</t>
  </si>
  <si>
    <t xml:space="preserve">S2-F07</t>
  </si>
  <si>
    <t xml:space="preserve">RIC-11666</t>
  </si>
  <si>
    <t xml:space="preserve">Lama di taglio rinforzato 64 mm</t>
  </si>
  <si>
    <t xml:space="preserve">S5-A12</t>
  </si>
  <si>
    <t xml:space="preserve">RIC-11673</t>
  </si>
  <si>
    <t xml:space="preserve">Rullo trasportatore tipo A 57 mm</t>
  </si>
  <si>
    <t xml:space="preserve">S6-E17</t>
  </si>
  <si>
    <t xml:space="preserve">RIC-11680</t>
  </si>
  <si>
    <t xml:space="preserve">Cuscinetto tipo A 62 mm</t>
  </si>
  <si>
    <t xml:space="preserve">S1-D17</t>
  </si>
  <si>
    <t xml:space="preserve">RIC-11687</t>
  </si>
  <si>
    <t xml:space="preserve">Cinghia dentata rinforzato 70 mm</t>
  </si>
  <si>
    <t xml:space="preserve">S1-E19</t>
  </si>
  <si>
    <t xml:space="preserve">RIC-11694</t>
  </si>
  <si>
    <t xml:space="preserve">Sensore induttivo rinforzato 31 mm</t>
  </si>
  <si>
    <t xml:space="preserve">S7-A17</t>
  </si>
  <si>
    <t xml:space="preserve">RIC-11701</t>
  </si>
  <si>
    <t xml:space="preserve">Elettrovalvola tipo A 10 mm</t>
  </si>
  <si>
    <t xml:space="preserve">RIC-11708</t>
  </si>
  <si>
    <t xml:space="preserve">Guarnizione inox 85 mm</t>
  </si>
  <si>
    <t xml:space="preserve">RIC-11715</t>
  </si>
  <si>
    <t xml:space="preserve">Motoriduttore rinforzato 37 mm</t>
  </si>
  <si>
    <t xml:space="preserve">S4-D06</t>
  </si>
  <si>
    <t xml:space="preserve">RIC-11722</t>
  </si>
  <si>
    <t xml:space="preserve">Fotocellula inox 81 mm</t>
  </si>
  <si>
    <t xml:space="preserve">S2-F11</t>
  </si>
  <si>
    <t xml:space="preserve">RIC-11729</t>
  </si>
  <si>
    <t xml:space="preserve">Encoder inox 60 mm</t>
  </si>
  <si>
    <t xml:space="preserve">RIC-11736</t>
  </si>
  <si>
    <t xml:space="preserve">Lama di taglio rinforzato 36 mm</t>
  </si>
  <si>
    <t xml:space="preserve">S5-C14</t>
  </si>
  <si>
    <t xml:space="preserve">RIC-11743</t>
  </si>
  <si>
    <t xml:space="preserve">Rullo trasportatore tipo B 58 mm</t>
  </si>
  <si>
    <t xml:space="preserve">S4-D05</t>
  </si>
  <si>
    <t xml:space="preserve">RIC-11750</t>
  </si>
  <si>
    <t xml:space="preserve">Cuscinetto tipo A 54 mm</t>
  </si>
  <si>
    <t xml:space="preserve">S6-E05</t>
  </si>
  <si>
    <t xml:space="preserve">RIC-11757</t>
  </si>
  <si>
    <t xml:space="preserve">Cinghia dentata rinforzato 31 mm</t>
  </si>
  <si>
    <t xml:space="preserve">RIC-11764</t>
  </si>
  <si>
    <t xml:space="preserve">Sensore induttivo tipo B 26 mm</t>
  </si>
  <si>
    <t xml:space="preserve">S6-D21</t>
  </si>
  <si>
    <t xml:space="preserve">RIC-11771</t>
  </si>
  <si>
    <t xml:space="preserve">Elettrovalvola tipo B 44 mm</t>
  </si>
  <si>
    <t xml:space="preserve">S5-F27</t>
  </si>
  <si>
    <t xml:space="preserve">RIC-11778</t>
  </si>
  <si>
    <t xml:space="preserve">Guarnizione tipo B 29 mm</t>
  </si>
  <si>
    <t xml:space="preserve">S4-F11</t>
  </si>
  <si>
    <t xml:space="preserve">RIC-11785</t>
  </si>
  <si>
    <t xml:space="preserve">Motoriduttore rinforzato 30 mm</t>
  </si>
  <si>
    <t xml:space="preserve">RIC-11792</t>
  </si>
  <si>
    <t xml:space="preserve">Fotocellula tipo B 94 mm</t>
  </si>
  <si>
    <t xml:space="preserve">RIC-11799</t>
  </si>
  <si>
    <t xml:space="preserve">Encoder rinforzato 48 mm</t>
  </si>
  <si>
    <t xml:space="preserve">S7-C07</t>
  </si>
  <si>
    <t xml:space="preserve">RIC-11806</t>
  </si>
  <si>
    <t xml:space="preserve">S7-D02</t>
  </si>
  <si>
    <t xml:space="preserve">RIC-11813</t>
  </si>
  <si>
    <t xml:space="preserve">Rullo trasportatore inox 98 mm</t>
  </si>
  <si>
    <t xml:space="preserve">S4-E21</t>
  </si>
  <si>
    <t xml:space="preserve">RIC-11820</t>
  </si>
  <si>
    <t xml:space="preserve">Cuscinetto tipo A 28 mm</t>
  </si>
  <si>
    <t xml:space="preserve">S5-E24</t>
  </si>
  <si>
    <t xml:space="preserve">RIC-11827</t>
  </si>
  <si>
    <t xml:space="preserve">Cinghia dentata tipo B 65 mm</t>
  </si>
  <si>
    <t xml:space="preserve">S7-B22</t>
  </si>
  <si>
    <t xml:space="preserve">RIC-11834</t>
  </si>
  <si>
    <t xml:space="preserve">Sensore induttivo tipo B 96 mm</t>
  </si>
  <si>
    <t xml:space="preserve">S3-F04</t>
  </si>
  <si>
    <t xml:space="preserve">RIC-11841</t>
  </si>
  <si>
    <t xml:space="preserve">Elettrovalvola rinforzato 43 mm</t>
  </si>
  <si>
    <t xml:space="preserve">S2-D08</t>
  </si>
  <si>
    <t xml:space="preserve">RIC-11848</t>
  </si>
  <si>
    <t xml:space="preserve">Guarnizione tipo B 42 mm</t>
  </si>
  <si>
    <t xml:space="preserve">S7-D15</t>
  </si>
  <si>
    <t xml:space="preserve">RIC-11855</t>
  </si>
  <si>
    <t xml:space="preserve">Motoriduttore inox 76 mm</t>
  </si>
  <si>
    <t xml:space="preserve">S3-F11</t>
  </si>
  <si>
    <t xml:space="preserve">RIC-11862</t>
  </si>
  <si>
    <t xml:space="preserve">Fotocellula inox 72 mm</t>
  </si>
  <si>
    <t xml:space="preserve">S2-A09</t>
  </si>
  <si>
    <t xml:space="preserve">RIC-11869</t>
  </si>
  <si>
    <t xml:space="preserve">Encoder tipo B 35 mm</t>
  </si>
  <si>
    <t xml:space="preserve">S6-A28</t>
  </si>
  <si>
    <t xml:space="preserve">RIC-11876</t>
  </si>
  <si>
    <t xml:space="preserve">Lama di taglio tipo B 70 mm</t>
  </si>
  <si>
    <t xml:space="preserve">S1-F26</t>
  </si>
  <si>
    <t xml:space="preserve">RIC-11883</t>
  </si>
  <si>
    <t xml:space="preserve">Rullo trasportatore rinforzato 62 mm</t>
  </si>
  <si>
    <t xml:space="preserve">S8-B22</t>
  </si>
  <si>
    <t xml:space="preserve">RIC-11890</t>
  </si>
  <si>
    <t xml:space="preserve">Cuscinetto tipo A 88 mm</t>
  </si>
  <si>
    <t xml:space="preserve">S6-F02</t>
  </si>
  <si>
    <t xml:space="preserve">RIC-11897</t>
  </si>
  <si>
    <t xml:space="preserve">Cinghia dentata inox 61 mm</t>
  </si>
  <si>
    <t xml:space="preserve">S1-A03</t>
  </si>
  <si>
    <t xml:space="preserve">RIC-11904</t>
  </si>
  <si>
    <t xml:space="preserve">Sensore induttivo rinforzato 84 mm</t>
  </si>
  <si>
    <t xml:space="preserve">S5-A08</t>
  </si>
  <si>
    <t xml:space="preserve">RIC-11911</t>
  </si>
  <si>
    <t xml:space="preserve">Elettrovalvola tipo B 60 mm</t>
  </si>
  <si>
    <t xml:space="preserve">RIC-11918</t>
  </si>
  <si>
    <t xml:space="preserve">S4-B12</t>
  </si>
  <si>
    <t xml:space="preserve">RIC-11925</t>
  </si>
  <si>
    <t xml:space="preserve">Motoriduttore inox 47 mm</t>
  </si>
  <si>
    <t xml:space="preserve">S3-D12</t>
  </si>
  <si>
    <t xml:space="preserve">RIC-11932</t>
  </si>
  <si>
    <t xml:space="preserve">Fotocellula rinforzato 58 mm</t>
  </si>
  <si>
    <t xml:space="preserve">S5-D22</t>
  </si>
  <si>
    <t xml:space="preserve">RIC-11939</t>
  </si>
  <si>
    <t xml:space="preserve">Encoder tipo A 45 mm</t>
  </si>
  <si>
    <t xml:space="preserve">S6-B21</t>
  </si>
  <si>
    <t xml:space="preserve">RIC-11946</t>
  </si>
  <si>
    <t xml:space="preserve">Lama di taglio inox 72 mm</t>
  </si>
  <si>
    <t xml:space="preserve">S7-E21</t>
  </si>
  <si>
    <t xml:space="preserve">RIC-11953</t>
  </si>
  <si>
    <t xml:space="preserve">Rullo trasportatore tipo B 48 mm</t>
  </si>
  <si>
    <t xml:space="preserve">RIC-11960</t>
  </si>
  <si>
    <t xml:space="preserve">Cuscinetto rinforzato 27 mm</t>
  </si>
  <si>
    <t xml:space="preserve">S6-F19</t>
  </si>
  <si>
    <t xml:space="preserve">RIC-11967</t>
  </si>
  <si>
    <t xml:space="preserve">Cinghia dentata tipo B 19 mm</t>
  </si>
  <si>
    <t xml:space="preserve">S5-C20</t>
  </si>
  <si>
    <t xml:space="preserve">RIC-11974</t>
  </si>
  <si>
    <t xml:space="preserve">RIC-11981</t>
  </si>
  <si>
    <t xml:space="preserve">Elettrovalvola tipo B 61 mm</t>
  </si>
  <si>
    <t xml:space="preserve">S3-E29</t>
  </si>
  <si>
    <t xml:space="preserve">RIC-11988</t>
  </si>
  <si>
    <t xml:space="preserve">Guarnizione tipo A 95 mm</t>
  </si>
  <si>
    <t xml:space="preserve">S5-B16</t>
  </si>
  <si>
    <t xml:space="preserve">RIC-11995</t>
  </si>
  <si>
    <t xml:space="preserve">Motoriduttore tipo A 66 mm</t>
  </si>
  <si>
    <t xml:space="preserve">S2-E04</t>
  </si>
  <si>
    <t xml:space="preserve">RIC-12002</t>
  </si>
  <si>
    <t xml:space="preserve">Fotocellula tipo B 27 mm</t>
  </si>
  <si>
    <t xml:space="preserve">S8-D18</t>
  </si>
  <si>
    <t xml:space="preserve">RIC-12009</t>
  </si>
  <si>
    <t xml:space="preserve">Encoder inox 28 mm</t>
  </si>
  <si>
    <t xml:space="preserve">RIC-12016</t>
  </si>
  <si>
    <t xml:space="preserve">Lama di taglio tipo A 30 mm</t>
  </si>
  <si>
    <t xml:space="preserve">S6-D23</t>
  </si>
  <si>
    <t xml:space="preserve">RIC-12023</t>
  </si>
  <si>
    <t xml:space="preserve">Rullo trasportatore rinforzato 69 mm</t>
  </si>
  <si>
    <t xml:space="preserve">RIC-12030</t>
  </si>
  <si>
    <t xml:space="preserve">Cuscinetto tipo B 91 mm</t>
  </si>
  <si>
    <t xml:space="preserve">S6-F21</t>
  </si>
  <si>
    <t xml:space="preserve">RIC-12037</t>
  </si>
  <si>
    <t xml:space="preserve">Cinghia dentata tipo A 97 mm</t>
  </si>
  <si>
    <t xml:space="preserve">S6-A17</t>
  </si>
  <si>
    <t xml:space="preserve">RIC-12044</t>
  </si>
  <si>
    <t xml:space="preserve">Sensore induttivo tipo B 14 mm</t>
  </si>
  <si>
    <t xml:space="preserve">S4-F14</t>
  </si>
  <si>
    <t xml:space="preserve">RIC-12051</t>
  </si>
  <si>
    <t xml:space="preserve">Elettrovalvola rinforzato 22 mm</t>
  </si>
  <si>
    <t xml:space="preserve">S6-C16</t>
  </si>
  <si>
    <t xml:space="preserve">RIC-12058</t>
  </si>
  <si>
    <t xml:space="preserve">Guarnizione tipo B 46 mm</t>
  </si>
  <si>
    <t xml:space="preserve">S7-C14</t>
  </si>
  <si>
    <t xml:space="preserve">RIC-12065</t>
  </si>
  <si>
    <t xml:space="preserve">Motoriduttore tipo A 47 mm</t>
  </si>
  <si>
    <t xml:space="preserve">S5-C27</t>
  </si>
  <si>
    <t xml:space="preserve">RIC-12072</t>
  </si>
  <si>
    <t xml:space="preserve">Fotocellula rinforzato 74 mm</t>
  </si>
  <si>
    <t xml:space="preserve">S5-E12</t>
  </si>
  <si>
    <t xml:space="preserve">RIC-12079</t>
  </si>
  <si>
    <t xml:space="preserve">Encoder tipo A 52 mm</t>
  </si>
  <si>
    <t xml:space="preserve">S4-C23</t>
  </si>
  <si>
    <t xml:space="preserve">RIC-12086</t>
  </si>
  <si>
    <t xml:space="preserve">Lama di taglio tipo A 15 mm</t>
  </si>
  <si>
    <t xml:space="preserve">S7-F18</t>
  </si>
  <si>
    <t xml:space="preserve">RIC-12093</t>
  </si>
  <si>
    <t xml:space="preserve">Rullo trasportatore tipo A 61 mm</t>
  </si>
  <si>
    <t xml:space="preserve">S5-A01</t>
  </si>
  <si>
    <t xml:space="preserve">RIC-12100</t>
  </si>
  <si>
    <t xml:space="preserve">RIC-12107</t>
  </si>
  <si>
    <t xml:space="preserve">Cinghia dentata tipo B 90 mm</t>
  </si>
  <si>
    <t xml:space="preserve">S2-B02</t>
  </si>
  <si>
    <t xml:space="preserve">RIC-12114</t>
  </si>
  <si>
    <t xml:space="preserve">Sensore induttivo tipo B 22 mm</t>
  </si>
  <si>
    <t xml:space="preserve">S3-A14</t>
  </si>
  <si>
    <t xml:space="preserve">RIC-12121</t>
  </si>
  <si>
    <t xml:space="preserve">Elettrovalvola tipo A 57 mm</t>
  </si>
  <si>
    <t xml:space="preserve">S3-C18</t>
  </si>
  <si>
    <t xml:space="preserve">RIC-12128</t>
  </si>
  <si>
    <t xml:space="preserve">Guarnizione rinforzato 33 mm</t>
  </si>
  <si>
    <t xml:space="preserve">S7-A11</t>
  </si>
  <si>
    <t xml:space="preserve">RIC-12135</t>
  </si>
  <si>
    <t xml:space="preserve">Motoriduttore tipo A 73 mm</t>
  </si>
  <si>
    <t xml:space="preserve">S1-A25</t>
  </si>
  <si>
    <t xml:space="preserve">RIC-12142</t>
  </si>
  <si>
    <t xml:space="preserve">Fotocellula inox 67 mm</t>
  </si>
  <si>
    <t xml:space="preserve">S2-A22</t>
  </si>
  <si>
    <t xml:space="preserve">RIC-12149</t>
  </si>
  <si>
    <t xml:space="preserve">Encoder tipo B 70 mm</t>
  </si>
  <si>
    <t xml:space="preserve">S7-E04</t>
  </si>
  <si>
    <t xml:space="preserve">RIC-12156</t>
  </si>
  <si>
    <t xml:space="preserve">Lama di taglio tipo B 29 mm</t>
  </si>
  <si>
    <t xml:space="preserve">S1-D01</t>
  </si>
  <si>
    <t xml:space="preserve">RIC-12163</t>
  </si>
  <si>
    <t xml:space="preserve">Rullo trasportatore tipo A 37 mm</t>
  </si>
  <si>
    <t xml:space="preserve">RIC-12170</t>
  </si>
  <si>
    <t xml:space="preserve">Cuscinetto tipo B 67 mm</t>
  </si>
  <si>
    <t xml:space="preserve">S3-A12</t>
  </si>
  <si>
    <t xml:space="preserve">RIC-12177</t>
  </si>
  <si>
    <t xml:space="preserve">Cinghia dentata tipo A 47 mm</t>
  </si>
  <si>
    <t xml:space="preserve">S8-D22</t>
  </si>
  <si>
    <t xml:space="preserve">RIC-12184</t>
  </si>
  <si>
    <t xml:space="preserve">Sensore induttivo tipo A 14 mm</t>
  </si>
  <si>
    <t xml:space="preserve">S1-A01</t>
  </si>
  <si>
    <t xml:space="preserve">RIC-12191</t>
  </si>
  <si>
    <t xml:space="preserve">Elettrovalvola tipo A 59 mm</t>
  </si>
  <si>
    <t xml:space="preserve">S5-C24</t>
  </si>
  <si>
    <t xml:space="preserve">RIC-12198</t>
  </si>
  <si>
    <t xml:space="preserve">Guarnizione inox 87 mm</t>
  </si>
  <si>
    <t xml:space="preserve">S1-C12</t>
  </si>
  <si>
    <t xml:space="preserve">RIC-12205</t>
  </si>
  <si>
    <t xml:space="preserve">Motoriduttore inox 96 mm</t>
  </si>
  <si>
    <t xml:space="preserve">S3-B26</t>
  </si>
  <si>
    <t xml:space="preserve">RIC-12212</t>
  </si>
  <si>
    <t xml:space="preserve">Fotocellula tipo B 90 mm</t>
  </si>
  <si>
    <t xml:space="preserve">RIC-12219</t>
  </si>
  <si>
    <t xml:space="preserve">Encoder rinforzato 82 mm</t>
  </si>
  <si>
    <t xml:space="preserve">S6-C09</t>
  </si>
  <si>
    <t xml:space="preserve">RIC-12226</t>
  </si>
  <si>
    <t xml:space="preserve">Lama di taglio rinforzato 87 mm</t>
  </si>
  <si>
    <t xml:space="preserve">S1-B20</t>
  </si>
  <si>
    <t xml:space="preserve">RIC-12233</t>
  </si>
  <si>
    <t xml:space="preserve">Rullo trasportatore inox 41 mm</t>
  </si>
  <si>
    <t xml:space="preserve">S7-D22</t>
  </si>
  <si>
    <t xml:space="preserve">RIC-12240</t>
  </si>
  <si>
    <t xml:space="preserve">RIC-12247</t>
  </si>
  <si>
    <t xml:space="preserve">Cinghia dentata rinforzato 64 mm</t>
  </si>
  <si>
    <t xml:space="preserve">S3-E27</t>
  </si>
  <si>
    <t xml:space="preserve">RIC-12254</t>
  </si>
  <si>
    <t xml:space="preserve">Sensore induttivo rinforzato 28 mm</t>
  </si>
  <si>
    <t xml:space="preserve">S3-C28</t>
  </si>
  <si>
    <t xml:space="preserve">RIC-12261</t>
  </si>
  <si>
    <t xml:space="preserve">Elettrovalvola inox 54 mm</t>
  </si>
  <si>
    <t xml:space="preserve">S2-E18</t>
  </si>
  <si>
    <t xml:space="preserve">RIC-12268</t>
  </si>
  <si>
    <t xml:space="preserve">Guarnizione tipo B 39 mm</t>
  </si>
  <si>
    <t xml:space="preserve">S5-E02</t>
  </si>
  <si>
    <t xml:space="preserve">RIC-12275</t>
  </si>
  <si>
    <t xml:space="preserve">Motoriduttore inox 36 mm</t>
  </si>
  <si>
    <t xml:space="preserve">S5-E25</t>
  </si>
  <si>
    <t xml:space="preserve">RIC-12282</t>
  </si>
  <si>
    <t xml:space="preserve">S2-E26</t>
  </si>
  <si>
    <t xml:space="preserve">RIC-12289</t>
  </si>
  <si>
    <t xml:space="preserve">Encoder tipo B 60 mm</t>
  </si>
  <si>
    <t xml:space="preserve">S5-E11</t>
  </si>
  <si>
    <t xml:space="preserve">RIC-12296</t>
  </si>
  <si>
    <t xml:space="preserve">Lama di taglio tipo B 34 mm</t>
  </si>
  <si>
    <t xml:space="preserve">S4-B03</t>
  </si>
  <si>
    <t xml:space="preserve">RIC-12303</t>
  </si>
  <si>
    <t xml:space="preserve">Rullo trasportatore rinforzato 83 mm</t>
  </si>
  <si>
    <t xml:space="preserve">S6-D25</t>
  </si>
  <si>
    <t xml:space="preserve">RIC-12310</t>
  </si>
  <si>
    <t xml:space="preserve">Cuscinetto tipo B 15 mm</t>
  </si>
  <si>
    <t xml:space="preserve">S8-C28</t>
  </si>
  <si>
    <t xml:space="preserve">RIC-12317</t>
  </si>
  <si>
    <t xml:space="preserve">Cinghia dentata inox 20 mm</t>
  </si>
  <si>
    <t xml:space="preserve">S3-C20</t>
  </si>
  <si>
    <t xml:space="preserve">RIC-12324</t>
  </si>
  <si>
    <t xml:space="preserve">Sensore induttivo rinforzato 76 mm</t>
  </si>
  <si>
    <t xml:space="preserve">S1-A02</t>
  </si>
  <si>
    <t xml:space="preserve">RIC-12331</t>
  </si>
  <si>
    <t xml:space="preserve">Elettrovalvola inox 85 mm</t>
  </si>
  <si>
    <t xml:space="preserve">S4-C25</t>
  </si>
  <si>
    <t xml:space="preserve">RIC-12338</t>
  </si>
  <si>
    <t xml:space="preserve">Guarnizione tipo A 67 mm</t>
  </si>
  <si>
    <t xml:space="preserve">S3-C27</t>
  </si>
  <si>
    <t xml:space="preserve">RIC-12345</t>
  </si>
  <si>
    <t xml:space="preserve">Motoriduttore tipo B 33 mm</t>
  </si>
  <si>
    <t xml:space="preserve">S7-A01</t>
  </si>
  <si>
    <t xml:space="preserve">RIC-12352</t>
  </si>
  <si>
    <t xml:space="preserve">Fotocellula rinforzato 68 mm</t>
  </si>
  <si>
    <t xml:space="preserve">S8-A28</t>
  </si>
  <si>
    <t xml:space="preserve">RIC-12359</t>
  </si>
  <si>
    <t xml:space="preserve">Encoder tipo A 21 mm</t>
  </si>
  <si>
    <t xml:space="preserve">RIC-12366</t>
  </si>
  <si>
    <t xml:space="preserve">Lama di taglio inox 33 mm</t>
  </si>
  <si>
    <t xml:space="preserve">S8-B12</t>
  </si>
  <si>
    <t xml:space="preserve">RIC-12373</t>
  </si>
  <si>
    <t xml:space="preserve">Rullo trasportatore tipo B 14 mm</t>
  </si>
  <si>
    <t xml:space="preserve">RIC-12380</t>
  </si>
  <si>
    <t xml:space="preserve">S5-E23</t>
  </si>
  <si>
    <t xml:space="preserve">RIC-12387</t>
  </si>
  <si>
    <t xml:space="preserve">Cinghia dentata tipo A 22 mm</t>
  </si>
  <si>
    <t xml:space="preserve">S3-C25</t>
  </si>
  <si>
    <t xml:space="preserve">RIC-12394</t>
  </si>
  <si>
    <t xml:space="preserve">Sensore induttivo rinforzato 85 mm</t>
  </si>
  <si>
    <t xml:space="preserve">S8-F04</t>
  </si>
  <si>
    <t xml:space="preserve">RIC-12401</t>
  </si>
  <si>
    <t xml:space="preserve">Elettrovalvola rinforzato 42 mm</t>
  </si>
  <si>
    <t xml:space="preserve">S7-A12</t>
  </si>
  <si>
    <t xml:space="preserve">RIC-12408</t>
  </si>
  <si>
    <t xml:space="preserve">Guarnizione tipo B 66 mm</t>
  </si>
  <si>
    <t xml:space="preserve">S4-B22</t>
  </si>
  <si>
    <t xml:space="preserve">RIC-12415</t>
  </si>
  <si>
    <t xml:space="preserve">Motoriduttore inox 34 mm</t>
  </si>
  <si>
    <t xml:space="preserve">S1-B27</t>
  </si>
  <si>
    <t xml:space="preserve">RIC-12422</t>
  </si>
  <si>
    <t xml:space="preserve">Fotocellula rinforzato 27 mm</t>
  </si>
  <si>
    <t xml:space="preserve">S8-A13</t>
  </si>
  <si>
    <t xml:space="preserve">RIC-12429</t>
  </si>
  <si>
    <t xml:space="preserve">Encoder tipo A 67 mm</t>
  </si>
  <si>
    <t xml:space="preserve">S6-C27</t>
  </si>
  <si>
    <t xml:space="preserve">RIC-12436</t>
  </si>
  <si>
    <t xml:space="preserve">Lama di taglio tipo A 90 mm</t>
  </si>
  <si>
    <t xml:space="preserve">S6-B11</t>
  </si>
  <si>
    <t xml:space="preserve">RIC-12443</t>
  </si>
  <si>
    <t xml:space="preserve">Rullo trasportatore tipo B 67 mm</t>
  </si>
  <si>
    <t xml:space="preserve">S3-D28</t>
  </si>
  <si>
    <t xml:space="preserve">RIC-12450</t>
  </si>
  <si>
    <t xml:space="preserve">Cuscinetto inox 62 mm</t>
  </si>
  <si>
    <t xml:space="preserve">RIC-12457</t>
  </si>
  <si>
    <t xml:space="preserve">Cinghia dentata rinforzato 52 mm</t>
  </si>
  <si>
    <t xml:space="preserve">S3-C16</t>
  </si>
  <si>
    <t xml:space="preserve">RIC-12464</t>
  </si>
  <si>
    <t xml:space="preserve">Sensore induttivo inox 71 mm</t>
  </si>
  <si>
    <t xml:space="preserve">S2-B17</t>
  </si>
  <si>
    <t xml:space="preserve">RIC-12471</t>
  </si>
  <si>
    <t xml:space="preserve">Elettrovalvola inox 46 mm</t>
  </si>
  <si>
    <t xml:space="preserve">S2-C25</t>
  </si>
  <si>
    <t xml:space="preserve">RIC-12478</t>
  </si>
  <si>
    <t xml:space="preserve">Guarnizione inox 43 mm</t>
  </si>
  <si>
    <t xml:space="preserve">S4-B04</t>
  </si>
  <si>
    <t xml:space="preserve">RIC-12485</t>
  </si>
  <si>
    <t xml:space="preserve">Motoriduttore inox 30 mm</t>
  </si>
  <si>
    <t xml:space="preserve">S1-F10</t>
  </si>
  <si>
    <t xml:space="preserve">RIC-12492</t>
  </si>
  <si>
    <t xml:space="preserve">Fotocellula inox 74 mm</t>
  </si>
  <si>
    <t xml:space="preserve">RIC-12499</t>
  </si>
  <si>
    <t xml:space="preserve">Encoder rinforzato 33 mm</t>
  </si>
  <si>
    <t xml:space="preserve">S6-D02</t>
  </si>
  <si>
    <t xml:space="preserve">RIC-12506</t>
  </si>
  <si>
    <t xml:space="preserve">Lama di taglio tipo B 45 mm</t>
  </si>
  <si>
    <t xml:space="preserve">S3-B27</t>
  </si>
  <si>
    <t xml:space="preserve">RIC-12513</t>
  </si>
  <si>
    <t xml:space="preserve">Rullo trasportatore tipo B 32 mm</t>
  </si>
  <si>
    <t xml:space="preserve">S4-E03</t>
  </si>
  <si>
    <t xml:space="preserve">RIC-12520</t>
  </si>
  <si>
    <t xml:space="preserve">Cuscinetto inox 45 mm</t>
  </si>
  <si>
    <t xml:space="preserve">S3-B05</t>
  </si>
  <si>
    <t xml:space="preserve">RIC-12527</t>
  </si>
  <si>
    <t xml:space="preserve">Cinghia dentata rinforzato 35 mm</t>
  </si>
  <si>
    <t xml:space="preserve">S1-A23</t>
  </si>
  <si>
    <t xml:space="preserve">RIC-12534</t>
  </si>
  <si>
    <t xml:space="preserve">Sensore induttivo inox 17 mm</t>
  </si>
  <si>
    <t xml:space="preserve">S6-C10</t>
  </si>
  <si>
    <t xml:space="preserve">RIC-12541</t>
  </si>
  <si>
    <t xml:space="preserve">Elettrovalvola tipo A 11 mm</t>
  </si>
  <si>
    <t xml:space="preserve">S7-D05</t>
  </si>
  <si>
    <t xml:space="preserve">RIC-12548</t>
  </si>
  <si>
    <t xml:space="preserve">Guarnizione tipo B 33 mm</t>
  </si>
  <si>
    <t xml:space="preserve">S6-A06</t>
  </si>
  <si>
    <t xml:space="preserve">RIC-12555</t>
  </si>
  <si>
    <t xml:space="preserve">Motoriduttore tipo A 55 mm</t>
  </si>
  <si>
    <t xml:space="preserve">S8-E03</t>
  </si>
  <si>
    <t xml:space="preserve">RIC-12562</t>
  </si>
  <si>
    <t xml:space="preserve">Fotocellula tipo B 51 mm</t>
  </si>
  <si>
    <t xml:space="preserve">S7-E25</t>
  </si>
  <si>
    <t xml:space="preserve">RIC-12569</t>
  </si>
  <si>
    <t xml:space="preserve">Encoder rinforzato 23 mm</t>
  </si>
  <si>
    <t xml:space="preserve">S8-D17</t>
  </si>
  <si>
    <t xml:space="preserve">RIC-12576</t>
  </si>
  <si>
    <t xml:space="preserve">Lama di taglio tipo B 12 mm</t>
  </si>
  <si>
    <t xml:space="preserve">S4-A08</t>
  </si>
  <si>
    <t xml:space="preserve">RIC-12583</t>
  </si>
  <si>
    <t xml:space="preserve">Rullo trasportatore tipo B 23 mm</t>
  </si>
  <si>
    <t xml:space="preserve">S5-C18</t>
  </si>
  <si>
    <t xml:space="preserve">RIC-12590</t>
  </si>
  <si>
    <t xml:space="preserve">Cuscinetto tipo A 22 mm</t>
  </si>
  <si>
    <t xml:space="preserve">S4-C01</t>
  </si>
  <si>
    <t xml:space="preserve">RIC-12597</t>
  </si>
  <si>
    <t xml:space="preserve">Cinghia dentata inox 76 mm</t>
  </si>
  <si>
    <t xml:space="preserve">S4-F15</t>
  </si>
  <si>
    <t xml:space="preserve">RIC-12604</t>
  </si>
  <si>
    <t xml:space="preserve">Sensore induttivo tipo A 32 mm</t>
  </si>
  <si>
    <t xml:space="preserve">S1-C04</t>
  </si>
  <si>
    <t xml:space="preserve">RIC-12611</t>
  </si>
  <si>
    <t xml:space="preserve">Elettrovalvola rinforzato 24 mm</t>
  </si>
  <si>
    <t xml:space="preserve">S2-A13</t>
  </si>
  <si>
    <t xml:space="preserve">RIC-12618</t>
  </si>
  <si>
    <t xml:space="preserve">S3-F19</t>
  </si>
  <si>
    <t xml:space="preserve">RIC-12625</t>
  </si>
  <si>
    <t xml:space="preserve">S7-F14</t>
  </si>
  <si>
    <t xml:space="preserve">RIC-12632</t>
  </si>
  <si>
    <t xml:space="preserve">Fotocellula tipo A 60 mm</t>
  </si>
  <si>
    <t xml:space="preserve">RIC-12639</t>
  </si>
  <si>
    <t xml:space="preserve">Encoder rinforzato 65 mm</t>
  </si>
  <si>
    <t xml:space="preserve">S6-D28</t>
  </si>
  <si>
    <t xml:space="preserve">RIC-12646</t>
  </si>
  <si>
    <t xml:space="preserve">S3-F12</t>
  </si>
  <si>
    <t xml:space="preserve">RIC-12653</t>
  </si>
  <si>
    <t xml:space="preserve">S2-E06</t>
  </si>
  <si>
    <t xml:space="preserve">RIC-12660</t>
  </si>
  <si>
    <t xml:space="preserve">Cuscinetto inox 35 mm</t>
  </si>
  <si>
    <t xml:space="preserve">RIC-12667</t>
  </si>
  <si>
    <t xml:space="preserve">Cinghia dentata inox 91 mm</t>
  </si>
  <si>
    <t xml:space="preserve">RIC-12674</t>
  </si>
  <si>
    <t xml:space="preserve">Sensore induttivo rinforzato 96 mm</t>
  </si>
  <si>
    <t xml:space="preserve">S5-F18</t>
  </si>
  <si>
    <t xml:space="preserve">RIC-12681</t>
  </si>
  <si>
    <t xml:space="preserve">Elettrovalvola tipo A 42 mm</t>
  </si>
  <si>
    <t xml:space="preserve">S2-E01</t>
  </si>
  <si>
    <t xml:space="preserve">RIC-12688</t>
  </si>
  <si>
    <t xml:space="preserve">Guarnizione tipo A 46 mm</t>
  </si>
  <si>
    <t xml:space="preserve">S2-C12</t>
  </si>
  <si>
    <t xml:space="preserve">RIC-12695</t>
  </si>
  <si>
    <t xml:space="preserve">Motoriduttore tipo A 17 mm</t>
  </si>
  <si>
    <t xml:space="preserve">RIC-12702</t>
  </si>
  <si>
    <t xml:space="preserve">Fotocellula tipo B 66 mm</t>
  </si>
  <si>
    <t xml:space="preserve">S2-E05</t>
  </si>
  <si>
    <t xml:space="preserve">RIC-12709</t>
  </si>
  <si>
    <t xml:space="preserve">Encoder inox 83 mm</t>
  </si>
  <si>
    <t xml:space="preserve">S5-C08</t>
  </si>
  <si>
    <t xml:space="preserve">RIC-12716</t>
  </si>
  <si>
    <t xml:space="preserve">Lama di taglio rinforzato 68 mm</t>
  </si>
  <si>
    <t xml:space="preserve">S4-F13</t>
  </si>
  <si>
    <t xml:space="preserve">RIC-12723</t>
  </si>
  <si>
    <t xml:space="preserve">Rullo trasportatore rinforzato 68 mm</t>
  </si>
  <si>
    <t xml:space="preserve">RIC-12730</t>
  </si>
  <si>
    <t xml:space="preserve">Cuscinetto tipo A 41 mm</t>
  </si>
  <si>
    <t xml:space="preserve">S6-B07</t>
  </si>
  <si>
    <t xml:space="preserve">RIC-12737</t>
  </si>
  <si>
    <t xml:space="preserve">Cinghia dentata inox 84 mm</t>
  </si>
  <si>
    <t xml:space="preserve">RIC-12744</t>
  </si>
  <si>
    <t xml:space="preserve">Sensore induttivo rinforzato 81 mm</t>
  </si>
  <si>
    <t xml:space="preserve">S6-D09</t>
  </si>
  <si>
    <t xml:space="preserve">RIC-12751</t>
  </si>
  <si>
    <t xml:space="preserve">Elettrovalvola rinforzato 17 mm</t>
  </si>
  <si>
    <t xml:space="preserve">S1-B18</t>
  </si>
  <si>
    <t xml:space="preserve">RIC-12758</t>
  </si>
  <si>
    <t xml:space="preserve">Guarnizione rinforzato 66 mm</t>
  </si>
  <si>
    <t xml:space="preserve">S1-E13</t>
  </si>
  <si>
    <t xml:space="preserve">RIC-12765</t>
  </si>
  <si>
    <t xml:space="preserve">Motoriduttore rinforzato 23 mm</t>
  </si>
  <si>
    <t xml:space="preserve">RIC-12772</t>
  </si>
  <si>
    <t xml:space="preserve">Fotocellula inox 53 mm</t>
  </si>
  <si>
    <t xml:space="preserve">S6-B22</t>
  </si>
  <si>
    <t xml:space="preserve">RIC-12779</t>
  </si>
  <si>
    <t xml:space="preserve">Encoder rinforzato 76 mm</t>
  </si>
  <si>
    <t xml:space="preserve">RIC-12786</t>
  </si>
  <si>
    <t xml:space="preserve">Lama di taglio rinforzato 90 mm</t>
  </si>
  <si>
    <t xml:space="preserve">RIC-12793</t>
  </si>
  <si>
    <t xml:space="preserve">Rullo trasportatore inox 80 mm</t>
  </si>
  <si>
    <t xml:space="preserve">RIC-12800</t>
  </si>
  <si>
    <t xml:space="preserve">S2-D28</t>
  </si>
  <si>
    <t xml:space="preserve">RIC-12807</t>
  </si>
  <si>
    <t xml:space="preserve">Cinghia dentata rinforzato 55 mm</t>
  </si>
  <si>
    <t xml:space="preserve">S5-C13</t>
  </si>
  <si>
    <t xml:space="preserve">RIC-12814</t>
  </si>
  <si>
    <t xml:space="preserve">Sensore induttivo inox 92 mm</t>
  </si>
  <si>
    <t xml:space="preserve">S6-A26</t>
  </si>
  <si>
    <t xml:space="preserve">RIC-12821</t>
  </si>
  <si>
    <t xml:space="preserve">Elettrovalvola inox 66 mm</t>
  </si>
  <si>
    <t xml:space="preserve">S5-B18</t>
  </si>
  <si>
    <t xml:space="preserve">RIC-12828</t>
  </si>
  <si>
    <t xml:space="preserve">Guarnizione inox 83 mm</t>
  </si>
  <si>
    <t xml:space="preserve">S7-E08</t>
  </si>
  <si>
    <t xml:space="preserve">RIC-12835</t>
  </si>
  <si>
    <t xml:space="preserve">Motoriduttore rinforzato 87 mm</t>
  </si>
  <si>
    <t xml:space="preserve">RIC-12842</t>
  </si>
  <si>
    <t xml:space="preserve">Fotocellula tipo A 16 mm</t>
  </si>
  <si>
    <t xml:space="preserve">RIC-12849</t>
  </si>
  <si>
    <t xml:space="preserve">Encoder rinforzato 78 mm</t>
  </si>
  <si>
    <t xml:space="preserve">S7-E27</t>
  </si>
  <si>
    <t xml:space="preserve">RIC-12856</t>
  </si>
  <si>
    <t xml:space="preserve">Lama di taglio inox 69 mm</t>
  </si>
  <si>
    <t xml:space="preserve">S6-A20</t>
  </si>
  <si>
    <t xml:space="preserve">RIC-12863</t>
  </si>
  <si>
    <t xml:space="preserve">Rullo trasportatore inox 11 mm</t>
  </si>
  <si>
    <t xml:space="preserve">S2-E08</t>
  </si>
  <si>
    <t xml:space="preserve">RIC-12870</t>
  </si>
  <si>
    <t xml:space="preserve">Cuscinetto rinforzato 74 mm</t>
  </si>
  <si>
    <t xml:space="preserve">RIC-12877</t>
  </si>
  <si>
    <t xml:space="preserve">Cinghia dentata tipo B 34 mm</t>
  </si>
  <si>
    <t xml:space="preserve">RIC-12884</t>
  </si>
  <si>
    <t xml:space="preserve">Sensore induttivo rinforzato 98 mm</t>
  </si>
  <si>
    <t xml:space="preserve">S2-B12</t>
  </si>
  <si>
    <t xml:space="preserve">RIC-12891</t>
  </si>
  <si>
    <t xml:space="preserve">Elettrovalvola tipo A 49 mm</t>
  </si>
  <si>
    <t xml:space="preserve">S3-A21</t>
  </si>
  <si>
    <t xml:space="preserve">RIC-12898</t>
  </si>
  <si>
    <t xml:space="preserve">Guarnizione rinforzato 75 mm</t>
  </si>
  <si>
    <t xml:space="preserve">S7-F06</t>
  </si>
  <si>
    <t xml:space="preserve">RIC-12905</t>
  </si>
  <si>
    <t xml:space="preserve">Motoriduttore tipo B 74 mm</t>
  </si>
  <si>
    <t xml:space="preserve">RIC-12912</t>
  </si>
  <si>
    <t xml:space="preserve">Fotocellula tipo A 55 mm</t>
  </si>
  <si>
    <t xml:space="preserve">S1-F14</t>
  </si>
  <si>
    <t xml:space="preserve">RIC-12919</t>
  </si>
  <si>
    <t xml:space="preserve">S1-C13</t>
  </si>
  <si>
    <t xml:space="preserve">RIC-12926</t>
  </si>
  <si>
    <t xml:space="preserve">Lama di taglio tipo A 95 mm</t>
  </si>
  <si>
    <t xml:space="preserve">S1-B06</t>
  </si>
  <si>
    <t xml:space="preserve">RIC-12933</t>
  </si>
  <si>
    <t xml:space="preserve">Rullo trasportatore rinforzato 92 mm</t>
  </si>
  <si>
    <t xml:space="preserve">S3-E07</t>
  </si>
  <si>
    <t xml:space="preserve">RIC-12940</t>
  </si>
  <si>
    <t xml:space="preserve">RIC-12947</t>
  </si>
  <si>
    <t xml:space="preserve">RIC-12954</t>
  </si>
  <si>
    <t xml:space="preserve">RIC-12961</t>
  </si>
  <si>
    <t xml:space="preserve">Elettrovalvola tipo B 40 mm</t>
  </si>
  <si>
    <t xml:space="preserve">S6-C06</t>
  </si>
  <si>
    <t xml:space="preserve">RIC-12968</t>
  </si>
  <si>
    <t xml:space="preserve">Guarnizione tipo A 84 mm</t>
  </si>
  <si>
    <t xml:space="preserve">S2-C07</t>
  </si>
  <si>
    <t xml:space="preserve">RIC-12975</t>
  </si>
  <si>
    <t xml:space="preserve">Motoriduttore inox 12 mm</t>
  </si>
  <si>
    <t xml:space="preserve">S1-B29</t>
  </si>
  <si>
    <t xml:space="preserve">RIC-12982</t>
  </si>
  <si>
    <t xml:space="preserve">Fotocellula tipo A 66 mm</t>
  </si>
  <si>
    <t xml:space="preserve">S1-E08</t>
  </si>
  <si>
    <t xml:space="preserve">RIC-12989</t>
  </si>
  <si>
    <t xml:space="preserve">Encoder tipo A 30 mm</t>
  </si>
  <si>
    <t xml:space="preserve">S3-C01</t>
  </si>
  <si>
    <t xml:space="preserve">RIC-12996</t>
  </si>
  <si>
    <t xml:space="preserve">RIC-13003</t>
  </si>
  <si>
    <t xml:space="preserve">S5-D29</t>
  </si>
  <si>
    <t xml:space="preserve">RIC-13010</t>
  </si>
  <si>
    <t xml:space="preserve">S2-B06</t>
  </si>
  <si>
    <t xml:space="preserve">RIC-13017</t>
  </si>
  <si>
    <t xml:space="preserve">Cinghia dentata tipo B 10 mm</t>
  </si>
  <si>
    <t xml:space="preserve">S5-D18</t>
  </si>
  <si>
    <t xml:space="preserve">RIC-13024</t>
  </si>
  <si>
    <t xml:space="preserve">Sensore induttivo rinforzato 78 mm</t>
  </si>
  <si>
    <t xml:space="preserve">S7-C13</t>
  </si>
  <si>
    <t xml:space="preserve">RIC-13031</t>
  </si>
  <si>
    <t xml:space="preserve">Elettrovalvola tipo A 64 mm</t>
  </si>
  <si>
    <t xml:space="preserve">RIC-13038</t>
  </si>
  <si>
    <t xml:space="preserve">Guarnizione inox 46 mm</t>
  </si>
  <si>
    <t xml:space="preserve">S6-B14</t>
  </si>
  <si>
    <t xml:space="preserve">RIC-13045</t>
  </si>
  <si>
    <t xml:space="preserve">Motoriduttore tipo A 53 mm</t>
  </si>
  <si>
    <t xml:space="preserve">S3-B23</t>
  </si>
  <si>
    <t xml:space="preserve">RIC-13052</t>
  </si>
  <si>
    <t xml:space="preserve">Fotocellula tipo B 44 mm</t>
  </si>
  <si>
    <t xml:space="preserve">S3-E15</t>
  </si>
  <si>
    <t xml:space="preserve">RIC-13059</t>
  </si>
  <si>
    <t xml:space="preserve">Encoder tipo B 57 mm</t>
  </si>
  <si>
    <t xml:space="preserve">S6-B24</t>
  </si>
  <si>
    <t xml:space="preserve">RIC-13066</t>
  </si>
  <si>
    <t xml:space="preserve">Lama di taglio tipo B 48 mm</t>
  </si>
  <si>
    <t xml:space="preserve">S8-E07</t>
  </si>
  <si>
    <t xml:space="preserve">RIC-13073</t>
  </si>
  <si>
    <t xml:space="preserve">Rullo trasportatore tipo B 43 mm</t>
  </si>
  <si>
    <t xml:space="preserve">S8-E12</t>
  </si>
  <si>
    <t xml:space="preserve">RIC-13080</t>
  </si>
  <si>
    <t xml:space="preserve">S4-B28</t>
  </si>
  <si>
    <t xml:space="preserve">RIC-13087</t>
  </si>
  <si>
    <t xml:space="preserve">Cinghia dentata tipo A 79 mm</t>
  </si>
  <si>
    <t xml:space="preserve">S5-F25</t>
  </si>
  <si>
    <t xml:space="preserve">RIC-13094</t>
  </si>
  <si>
    <t xml:space="preserve">Sensore induttivo tipo A 94 mm</t>
  </si>
  <si>
    <t xml:space="preserve">RIC-13101</t>
  </si>
  <si>
    <t xml:space="preserve">Elettrovalvola tipo B 39 mm</t>
  </si>
  <si>
    <t xml:space="preserve">RIC-13108</t>
  </si>
  <si>
    <t xml:space="preserve">Guarnizione tipo A 81 mm</t>
  </si>
  <si>
    <t xml:space="preserve">S6-E25</t>
  </si>
  <si>
    <t xml:space="preserve">RIC-13115</t>
  </si>
  <si>
    <t xml:space="preserve">S2-B10</t>
  </si>
  <si>
    <t xml:space="preserve">RIC-13122</t>
  </si>
  <si>
    <t xml:space="preserve">Fotocellula rinforzato 55 mm</t>
  </si>
  <si>
    <t xml:space="preserve">S7-D25</t>
  </si>
  <si>
    <t xml:space="preserve">RIC-13129</t>
  </si>
  <si>
    <t xml:space="preserve">Encoder rinforzato 32 mm</t>
  </si>
  <si>
    <t xml:space="preserve">S1-C22</t>
  </si>
  <si>
    <t xml:space="preserve">RIC-13136</t>
  </si>
  <si>
    <t xml:space="preserve">Lama di taglio inox 13 mm</t>
  </si>
  <si>
    <t xml:space="preserve">S8-B28</t>
  </si>
  <si>
    <t xml:space="preserve">RIC-13143</t>
  </si>
  <si>
    <t xml:space="preserve">Rullo trasportatore tipo A 33 mm</t>
  </si>
  <si>
    <t xml:space="preserve">S5-A09</t>
  </si>
  <si>
    <t xml:space="preserve">RIC-13150</t>
  </si>
  <si>
    <t xml:space="preserve">Cuscinetto tipo B 96 mm</t>
  </si>
  <si>
    <t xml:space="preserve">S1-D02</t>
  </si>
  <si>
    <t xml:space="preserve">RIC-13157</t>
  </si>
  <si>
    <t xml:space="preserve">S5-B13</t>
  </si>
  <si>
    <t xml:space="preserve">RIC-13164</t>
  </si>
  <si>
    <t xml:space="preserve">Sensore induttivo rinforzato 90 mm</t>
  </si>
  <si>
    <t xml:space="preserve">RIC-13171</t>
  </si>
  <si>
    <t xml:space="preserve">Elettrovalvola inox 76 mm</t>
  </si>
  <si>
    <t xml:space="preserve">RIC-13178</t>
  </si>
  <si>
    <t xml:space="preserve">Guarnizione rinforzato 10 mm</t>
  </si>
  <si>
    <t xml:space="preserve">S2-F10</t>
  </si>
  <si>
    <t xml:space="preserve">RIC-13185</t>
  </si>
  <si>
    <t xml:space="preserve">Motoriduttore tipo A 41 mm</t>
  </si>
  <si>
    <t xml:space="preserve">S2-A26</t>
  </si>
  <si>
    <t xml:space="preserve">RIC-13192</t>
  </si>
  <si>
    <t xml:space="preserve">Fotocellula rinforzato 21 mm</t>
  </si>
  <si>
    <t xml:space="preserve">S7-F24</t>
  </si>
  <si>
    <t xml:space="preserve">RIC-13199</t>
  </si>
  <si>
    <t xml:space="preserve">Encoder tipo B 45 mm</t>
  </si>
  <si>
    <t xml:space="preserve">S2-C14</t>
  </si>
  <si>
    <t xml:space="preserve">RIC-13206</t>
  </si>
  <si>
    <t xml:space="preserve">Lama di taglio inox 75 mm</t>
  </si>
  <si>
    <t xml:space="preserve">S1-F23</t>
  </si>
  <si>
    <t xml:space="preserve">RIC-13213</t>
  </si>
  <si>
    <t xml:space="preserve">Rullo trasportatore tipo B 72 mm</t>
  </si>
  <si>
    <t xml:space="preserve">S4-A23</t>
  </si>
  <si>
    <t xml:space="preserve">RIC-13220</t>
  </si>
  <si>
    <t xml:space="preserve">Cuscinetto rinforzato 32 mm</t>
  </si>
  <si>
    <t xml:space="preserve">S3-F08</t>
  </si>
  <si>
    <t xml:space="preserve">RIC-13227</t>
  </si>
  <si>
    <t xml:space="preserve">Cinghia dentata tipo B 17 mm</t>
  </si>
  <si>
    <t xml:space="preserve">S3-C12</t>
  </si>
  <si>
    <t xml:space="preserve">RIC-13234</t>
  </si>
  <si>
    <t xml:space="preserve">Sensore induttivo tipo B 91 mm</t>
  </si>
  <si>
    <t xml:space="preserve">S5-B05</t>
  </si>
  <si>
    <t xml:space="preserve">RIC-13241</t>
  </si>
  <si>
    <t xml:space="preserve">Elettrovalvola inox 40 mm</t>
  </si>
  <si>
    <t xml:space="preserve">S4-A17</t>
  </si>
  <si>
    <t xml:space="preserve">RIC-13248</t>
  </si>
  <si>
    <t xml:space="preserve">S6-F10</t>
  </si>
  <si>
    <t xml:space="preserve">RIC-13255</t>
  </si>
  <si>
    <t xml:space="preserve">Motoriduttore tipo B 52 mm</t>
  </si>
  <si>
    <t xml:space="preserve">S2-E14</t>
  </si>
  <si>
    <t xml:space="preserve">RIC-13262</t>
  </si>
  <si>
    <t xml:space="preserve">Fotocellula tipo B 86 mm</t>
  </si>
  <si>
    <t xml:space="preserve">S8-D27</t>
  </si>
  <si>
    <t xml:space="preserve">RIC-13269</t>
  </si>
  <si>
    <t xml:space="preserve">Encoder rinforzato 11 mm</t>
  </si>
  <si>
    <t xml:space="preserve">S6-D07</t>
  </si>
  <si>
    <t xml:space="preserve">RIC-13276</t>
  </si>
  <si>
    <t xml:space="preserve">Lama di taglio rinforzato 48 mm</t>
  </si>
  <si>
    <t xml:space="preserve">RIC-13283</t>
  </si>
  <si>
    <t xml:space="preserve">Rullo trasportatore tipo A 30 mm</t>
  </si>
  <si>
    <t xml:space="preserve">S6-D15</t>
  </si>
  <si>
    <t xml:space="preserve">RIC-13290</t>
  </si>
  <si>
    <t xml:space="preserve">Cuscinetto rinforzato 31 mm</t>
  </si>
  <si>
    <t xml:space="preserve">S2-A01</t>
  </si>
  <si>
    <t xml:space="preserve">RIC-13297</t>
  </si>
  <si>
    <t xml:space="preserve">Cinghia dentata tipo A 52 mm</t>
  </si>
  <si>
    <t xml:space="preserve">S5-A21</t>
  </si>
  <si>
    <t xml:space="preserve">RIC-13304</t>
  </si>
  <si>
    <t xml:space="preserve">Sensore induttivo inox 34 mm</t>
  </si>
  <si>
    <t xml:space="preserve">S6-A12</t>
  </si>
  <si>
    <t xml:space="preserve">RIC-13311</t>
  </si>
  <si>
    <t xml:space="preserve">Elettrovalvola rinforzato 90 mm</t>
  </si>
  <si>
    <t xml:space="preserve">S5-F08</t>
  </si>
  <si>
    <t xml:space="preserve">RIC-13318</t>
  </si>
  <si>
    <t xml:space="preserve">Guarnizione tipo A 13 mm</t>
  </si>
  <si>
    <t xml:space="preserve">S7-B10</t>
  </si>
  <si>
    <t xml:space="preserve">RIC-13325</t>
  </si>
  <si>
    <t xml:space="preserve">Motoriduttore tipo B 23 mm</t>
  </si>
  <si>
    <t xml:space="preserve">S5-F20</t>
  </si>
  <si>
    <t xml:space="preserve">RIC-13332</t>
  </si>
  <si>
    <t xml:space="preserve">Fotocellula tipo B 92 mm</t>
  </si>
  <si>
    <t xml:space="preserve">S6-C08</t>
  </si>
  <si>
    <t xml:space="preserve">RIC-13339</t>
  </si>
  <si>
    <t xml:space="preserve">Encoder rinforzato 42 mm</t>
  </si>
  <si>
    <t xml:space="preserve">S4-A02</t>
  </si>
  <si>
    <t xml:space="preserve">RIC-13346</t>
  </si>
  <si>
    <t xml:space="preserve">Lama di taglio inox 16 mm</t>
  </si>
  <si>
    <t xml:space="preserve">S4-D14</t>
  </si>
  <si>
    <t xml:space="preserve">RIC-13353</t>
  </si>
  <si>
    <t xml:space="preserve">S2-B23</t>
  </si>
  <si>
    <t xml:space="preserve">RIC-13360</t>
  </si>
  <si>
    <t xml:space="preserve">Cuscinetto tipo B 66 mm</t>
  </si>
  <si>
    <t xml:space="preserve">S7-A02</t>
  </si>
  <si>
    <t xml:space="preserve">RIC-13367</t>
  </si>
  <si>
    <t xml:space="preserve">Cinghia dentata inox 34 mm</t>
  </si>
  <si>
    <t xml:space="preserve">S4-F12</t>
  </si>
  <si>
    <t xml:space="preserve">RIC-13374</t>
  </si>
  <si>
    <t xml:space="preserve">Sensore induttivo inox 28 mm</t>
  </si>
  <si>
    <t xml:space="preserve">S5-A22</t>
  </si>
  <si>
    <t xml:space="preserve">RIC-13381</t>
  </si>
  <si>
    <t xml:space="preserve">Elettrovalvola inox 53 mm</t>
  </si>
  <si>
    <t xml:space="preserve">RIC-13388</t>
  </si>
  <si>
    <t xml:space="preserve">Guarnizione tipo B 58 mm</t>
  </si>
  <si>
    <t xml:space="preserve">RIC-13395</t>
  </si>
  <si>
    <t xml:space="preserve">Motoriduttore rinforzato 82 mm</t>
  </si>
  <si>
    <t xml:space="preserve">S4-D03</t>
  </si>
  <si>
    <t xml:space="preserve">RIC-13402</t>
  </si>
  <si>
    <t xml:space="preserve">Fotocellula inox 64 mm</t>
  </si>
  <si>
    <t xml:space="preserve">S3-D20</t>
  </si>
  <si>
    <t xml:space="preserve">RIC-13409</t>
  </si>
  <si>
    <t xml:space="preserve">Encoder tipo A 96 mm</t>
  </si>
  <si>
    <t xml:space="preserve">S6-E22</t>
  </si>
  <si>
    <t xml:space="preserve">RIC-13416</t>
  </si>
  <si>
    <t xml:space="preserve">RIC-13423</t>
  </si>
  <si>
    <t xml:space="preserve">Rullo trasportatore rinforzato 77 mm</t>
  </si>
  <si>
    <t xml:space="preserve">S1-B08</t>
  </si>
  <si>
    <t xml:space="preserve">RIC-13430</t>
  </si>
  <si>
    <t xml:space="preserve">S6-E19</t>
  </si>
  <si>
    <t xml:space="preserve">RIC-13437</t>
  </si>
  <si>
    <t xml:space="preserve">Cinghia dentata tipo B 82 mm</t>
  </si>
  <si>
    <t xml:space="preserve">S8-D09</t>
  </si>
  <si>
    <t xml:space="preserve">RIC-13444</t>
  </si>
  <si>
    <t xml:space="preserve">Sensore induttivo tipo B 35 mm</t>
  </si>
  <si>
    <t xml:space="preserve">S2-B28</t>
  </si>
  <si>
    <t xml:space="preserve">RIC-13451</t>
  </si>
  <si>
    <t xml:space="preserve">Elettrovalvola tipo A 34 mm</t>
  </si>
  <si>
    <t xml:space="preserve">S5-F16</t>
  </si>
  <si>
    <t xml:space="preserve">RIC-13458</t>
  </si>
  <si>
    <t xml:space="preserve">Guarnizione inox 38 mm</t>
  </si>
  <si>
    <t xml:space="preserve">S2-F17</t>
  </si>
  <si>
    <t xml:space="preserve">RIC-13465</t>
  </si>
  <si>
    <t xml:space="preserve">Motoriduttore tipo A 62 mm</t>
  </si>
  <si>
    <t xml:space="preserve">S2-D05</t>
  </si>
  <si>
    <t xml:space="preserve">RIC-13472</t>
  </si>
  <si>
    <t xml:space="preserve">Fotocellula tipo A 90 mm</t>
  </si>
  <si>
    <t xml:space="preserve">RIC-13479</t>
  </si>
  <si>
    <t xml:space="preserve">Encoder tipo B 34 mm</t>
  </si>
  <si>
    <t xml:space="preserve">S8-A05</t>
  </si>
  <si>
    <t xml:space="preserve">RIC-13486</t>
  </si>
  <si>
    <t xml:space="preserve">Lama di taglio tipo A 61 mm</t>
  </si>
  <si>
    <t xml:space="preserve">RIC-13493</t>
  </si>
  <si>
    <t xml:space="preserve">Rullo trasportatore tipo B 68 mm</t>
  </si>
  <si>
    <t xml:space="preserve">RIC-13500</t>
  </si>
  <si>
    <t xml:space="preserve">S4-E04</t>
  </si>
  <si>
    <t xml:space="preserve">RIC-13507</t>
  </si>
  <si>
    <t xml:space="preserve">Cinghia dentata tipo B 56 mm</t>
  </si>
  <si>
    <t xml:space="preserve">S6-F22</t>
  </si>
  <si>
    <t xml:space="preserve">RIC-13514</t>
  </si>
  <si>
    <t xml:space="preserve">Sensore induttivo tipo A 40 mm</t>
  </si>
  <si>
    <t xml:space="preserve">S6-E24</t>
  </si>
  <si>
    <t xml:space="preserve">RIC-13521</t>
  </si>
  <si>
    <t xml:space="preserve">Elettrovalvola inox 15 mm</t>
  </si>
  <si>
    <t xml:space="preserve">RIC-13528</t>
  </si>
  <si>
    <t xml:space="preserve">Guarnizione tipo A 14 mm</t>
  </si>
  <si>
    <t xml:space="preserve">S4-C12</t>
  </si>
  <si>
    <t xml:space="preserve">RIC-13535</t>
  </si>
  <si>
    <t xml:space="preserve">Motoriduttore tipo A 84 mm</t>
  </si>
  <si>
    <t xml:space="preserve">S8-A26</t>
  </si>
  <si>
    <t xml:space="preserve">RIC-13542</t>
  </si>
  <si>
    <t xml:space="preserve">Fotocellula tipo A 19 mm</t>
  </si>
  <si>
    <t xml:space="preserve">RIC-13549</t>
  </si>
  <si>
    <t xml:space="preserve">RIC-13556</t>
  </si>
  <si>
    <t xml:space="preserve">Lama di taglio inox 11 mm</t>
  </si>
  <si>
    <t xml:space="preserve">S1-C05</t>
  </si>
  <si>
    <t xml:space="preserve">RIC-13563</t>
  </si>
  <si>
    <t xml:space="preserve">Rullo trasportatore inox 14 mm</t>
  </si>
  <si>
    <t xml:space="preserve">S1-A06</t>
  </si>
  <si>
    <t xml:space="preserve">RIC-13570</t>
  </si>
  <si>
    <t xml:space="preserve">Cuscinetto inox 70 mm</t>
  </si>
  <si>
    <t xml:space="preserve">S3-F28</t>
  </si>
  <si>
    <t xml:space="preserve">RIC-13577</t>
  </si>
  <si>
    <t xml:space="preserve">Cinghia dentata tipo B 88 mm</t>
  </si>
  <si>
    <t xml:space="preserve">S2-C11</t>
  </si>
  <si>
    <t xml:space="preserve">RIC-13584</t>
  </si>
  <si>
    <t xml:space="preserve">Sensore induttivo rinforzato 26 mm</t>
  </si>
  <si>
    <t xml:space="preserve">RIC-13591</t>
  </si>
  <si>
    <t xml:space="preserve">Elettrovalvola inox 52 mm</t>
  </si>
  <si>
    <t xml:space="preserve">S8-D12</t>
  </si>
  <si>
    <t xml:space="preserve">RIC-13598</t>
  </si>
  <si>
    <t xml:space="preserve">Guarnizione rinforzato 84 mm</t>
  </si>
  <si>
    <t xml:space="preserve">S8-C08</t>
  </si>
  <si>
    <t xml:space="preserve">RIC-13605</t>
  </si>
  <si>
    <t xml:space="preserve">Motoriduttore inox 87 mm</t>
  </si>
  <si>
    <t xml:space="preserve">S1-F05</t>
  </si>
  <si>
    <t xml:space="preserve">RIC-13612</t>
  </si>
  <si>
    <t xml:space="preserve">Fotocellula rinforzato 59 mm</t>
  </si>
  <si>
    <t xml:space="preserve">S5-A17</t>
  </si>
  <si>
    <t xml:space="preserve">RIC-13619</t>
  </si>
  <si>
    <t xml:space="preserve">Encoder tipo B 14 mm</t>
  </si>
  <si>
    <t xml:space="preserve">S2-B25</t>
  </si>
  <si>
    <t xml:space="preserve">RIC-13626</t>
  </si>
  <si>
    <t xml:space="preserve">Lama di taglio tipo A 56 mm</t>
  </si>
  <si>
    <t xml:space="preserve">S5-B28</t>
  </si>
  <si>
    <t xml:space="preserve">RIC-13633</t>
  </si>
  <si>
    <t xml:space="preserve">Rullo trasportatore tipo A 48 mm</t>
  </si>
  <si>
    <t xml:space="preserve">S6-F12</t>
  </si>
  <si>
    <t xml:space="preserve">RIC-13640</t>
  </si>
  <si>
    <t xml:space="preserve">Cuscinetto rinforzato 80 mm</t>
  </si>
  <si>
    <t xml:space="preserve">S7-C02</t>
  </si>
  <si>
    <t xml:space="preserve">RIC-13647</t>
  </si>
  <si>
    <t xml:space="preserve">Cinghia dentata rinforzato 71 mm</t>
  </si>
  <si>
    <t xml:space="preserve">S6-B26</t>
  </si>
  <si>
    <t xml:space="preserve">RIC-13654</t>
  </si>
  <si>
    <t xml:space="preserve">Sensore induttivo tipo B 27 mm</t>
  </si>
  <si>
    <t xml:space="preserve">RIC-13661</t>
  </si>
  <si>
    <t xml:space="preserve">Elettrovalvola inox 67 mm</t>
  </si>
  <si>
    <t xml:space="preserve">RIC-13668</t>
  </si>
  <si>
    <t xml:space="preserve">Guarnizione tipo A 28 mm</t>
  </si>
  <si>
    <t xml:space="preserve">S5-F10</t>
  </si>
  <si>
    <t xml:space="preserve">RIC-13675</t>
  </si>
  <si>
    <t xml:space="preserve">Motoriduttore rinforzato 19 mm</t>
  </si>
  <si>
    <t xml:space="preserve">RIC-13682</t>
  </si>
  <si>
    <t xml:space="preserve">Fotocellula rinforzato 84 mm</t>
  </si>
  <si>
    <t xml:space="preserve">S6-D12</t>
  </si>
  <si>
    <t xml:space="preserve">RIC-13689</t>
  </si>
  <si>
    <t xml:space="preserve">Encoder tipo A 72 mm</t>
  </si>
  <si>
    <t xml:space="preserve">RIC-13696</t>
  </si>
  <si>
    <t xml:space="preserve">Lama di taglio tipo A 31 mm</t>
  </si>
  <si>
    <t xml:space="preserve">S5-B23</t>
  </si>
  <si>
    <t xml:space="preserve">RIC-13703</t>
  </si>
  <si>
    <t xml:space="preserve">S8-B29</t>
  </si>
  <si>
    <t xml:space="preserve">RIC-13710</t>
  </si>
  <si>
    <t xml:space="preserve">Cuscinetto tipo A 35 mm</t>
  </si>
  <si>
    <t xml:space="preserve">S4-F02</t>
  </si>
  <si>
    <t xml:space="preserve">RIC-13717</t>
  </si>
  <si>
    <t xml:space="preserve">Cinghia dentata tipo A 20 mm</t>
  </si>
  <si>
    <t xml:space="preserve">RIC-13724</t>
  </si>
  <si>
    <t xml:space="preserve">Sensore induttivo tipo A 34 mm</t>
  </si>
  <si>
    <t xml:space="preserve">RIC-13731</t>
  </si>
  <si>
    <t xml:space="preserve">Elettrovalvola rinforzato 13 mm</t>
  </si>
  <si>
    <t xml:space="preserve">S4-C11</t>
  </si>
  <si>
    <t xml:space="preserve">RIC-13738</t>
  </si>
  <si>
    <t xml:space="preserve">RIC-13745</t>
  </si>
  <si>
    <t xml:space="preserve">Motoriduttore tipo A 21 mm</t>
  </si>
  <si>
    <t xml:space="preserve">S6-D20</t>
  </si>
  <si>
    <t xml:space="preserve">RIC-13752</t>
  </si>
  <si>
    <t xml:space="preserve">Fotocellula inox 11 mm</t>
  </si>
  <si>
    <t xml:space="preserve">S1-C19</t>
  </si>
  <si>
    <t xml:space="preserve">RIC-13759</t>
  </si>
  <si>
    <t xml:space="preserve">Encoder tipo A 63 mm</t>
  </si>
  <si>
    <t xml:space="preserve">S6-B03</t>
  </si>
  <si>
    <t xml:space="preserve">RIC-13766</t>
  </si>
  <si>
    <t xml:space="preserve">Lama di taglio tipo B 28 mm</t>
  </si>
  <si>
    <t xml:space="preserve">S2-C27</t>
  </si>
  <si>
    <t xml:space="preserve">RIC-13773</t>
  </si>
  <si>
    <t xml:space="preserve">Rullo trasportatore rinforzato 78 mm</t>
  </si>
  <si>
    <t xml:space="preserve">S3-F20</t>
  </si>
  <si>
    <t xml:space="preserve">RIC-13780</t>
  </si>
  <si>
    <t xml:space="preserve">Cuscinetto tipo B 89 mm</t>
  </si>
  <si>
    <t xml:space="preserve">RIC-13787</t>
  </si>
  <si>
    <t xml:space="preserve">Cinghia dentata rinforzato 93 mm</t>
  </si>
  <si>
    <t xml:space="preserve">S8-E09</t>
  </si>
  <si>
    <t xml:space="preserve">RIC-13794</t>
  </si>
  <si>
    <t xml:space="preserve">S5-A18</t>
  </si>
  <si>
    <t xml:space="preserve">RIC-13801</t>
  </si>
  <si>
    <t xml:space="preserve">Elettrovalvola rinforzato 29 mm</t>
  </si>
  <si>
    <t xml:space="preserve">RIC-13808</t>
  </si>
  <si>
    <t xml:space="preserve">Guarnizione tipo B 25 mm</t>
  </si>
  <si>
    <t xml:space="preserve">S1-E17</t>
  </si>
  <si>
    <t xml:space="preserve">RIC-13815</t>
  </si>
  <si>
    <t xml:space="preserve">Motoriduttore tipo B 43 mm</t>
  </si>
  <si>
    <t xml:space="preserve">S6-F05</t>
  </si>
  <si>
    <t xml:space="preserve">RIC-13822</t>
  </si>
  <si>
    <t xml:space="preserve">Fotocellula tipo B 77 mm</t>
  </si>
  <si>
    <t xml:space="preserve">S1-C25</t>
  </si>
  <si>
    <t xml:space="preserve">RIC-13829</t>
  </si>
  <si>
    <t xml:space="preserve">Encoder inox 73 mm</t>
  </si>
  <si>
    <t xml:space="preserve">RIC-13836</t>
  </si>
  <si>
    <t xml:space="preserve">Lama di taglio inox 37 mm</t>
  </si>
  <si>
    <t xml:space="preserve">S6-A04</t>
  </si>
  <si>
    <t xml:space="preserve">RIC-13843</t>
  </si>
  <si>
    <t xml:space="preserve">Rullo trasportatore tipo A 92 mm</t>
  </si>
  <si>
    <t xml:space="preserve">S7-F28</t>
  </si>
  <si>
    <t xml:space="preserve">RIC-13850</t>
  </si>
  <si>
    <t xml:space="preserve">Cuscinetto tipo B 82 mm</t>
  </si>
  <si>
    <t xml:space="preserve">RIC-13857</t>
  </si>
  <si>
    <t xml:space="preserve">Cinghia dentata tipo A 42 mm</t>
  </si>
  <si>
    <t xml:space="preserve">S1-C23</t>
  </si>
  <si>
    <t xml:space="preserve">RIC-13864</t>
  </si>
  <si>
    <t xml:space="preserve">RIC-13871</t>
  </si>
  <si>
    <t xml:space="preserve">Elettrovalvola rinforzato 73 mm</t>
  </si>
  <si>
    <t xml:space="preserve">RIC-13878</t>
  </si>
  <si>
    <t xml:space="preserve">Guarnizione rinforzato 27 mm</t>
  </si>
  <si>
    <t xml:space="preserve">S5-C03</t>
  </si>
  <si>
    <t xml:space="preserve">RIC-13885</t>
  </si>
  <si>
    <t xml:space="preserve">Motoriduttore inox 41 mm</t>
  </si>
  <si>
    <t xml:space="preserve">S3-C22</t>
  </si>
  <si>
    <t xml:space="preserve">RIC-13892</t>
  </si>
  <si>
    <t xml:space="preserve">Fotocellula inox 37 mm</t>
  </si>
  <si>
    <t xml:space="preserve">S1-B28</t>
  </si>
  <si>
    <t xml:space="preserve">RIC-13899</t>
  </si>
  <si>
    <t xml:space="preserve">Encoder tipo A 66 mm</t>
  </si>
  <si>
    <t xml:space="preserve">RIC-13906</t>
  </si>
  <si>
    <t xml:space="preserve">Lama di taglio tipo A 24 mm</t>
  </si>
  <si>
    <t xml:space="preserve">S3-A05</t>
  </si>
  <si>
    <t xml:space="preserve">RIC-13913</t>
  </si>
  <si>
    <t xml:space="preserve">Rullo trasportatore tipo B 74 mm</t>
  </si>
  <si>
    <t xml:space="preserve">S6-A25</t>
  </si>
  <si>
    <t xml:space="preserve">RIC-13920</t>
  </si>
  <si>
    <t xml:space="preserve">Cuscinetto inox 21 mm</t>
  </si>
  <si>
    <t xml:space="preserve">S7-C21</t>
  </si>
  <si>
    <t xml:space="preserve">RIC-13927</t>
  </si>
  <si>
    <t xml:space="preserve">Cinghia dentata rinforzato 14 mm</t>
  </si>
  <si>
    <t xml:space="preserve">S4-B26</t>
  </si>
  <si>
    <t xml:space="preserve">RIC-13934</t>
  </si>
  <si>
    <t xml:space="preserve">Sensore induttivo tipo A 27 mm</t>
  </si>
  <si>
    <t xml:space="preserve">S4-E14</t>
  </si>
  <si>
    <t xml:space="preserve">RIC-13941</t>
  </si>
  <si>
    <t xml:space="preserve">Elettrovalvola tipo A 16 mm</t>
  </si>
  <si>
    <t xml:space="preserve">S6-A29</t>
  </si>
  <si>
    <t xml:space="preserve">RIC-13948</t>
  </si>
  <si>
    <t xml:space="preserve">Guarnizione inox 27 mm</t>
  </si>
  <si>
    <t xml:space="preserve">RIC-13955</t>
  </si>
  <si>
    <t xml:space="preserve">Motoriduttore tipo B 91 mm</t>
  </si>
  <si>
    <t xml:space="preserve">S2-E12</t>
  </si>
  <si>
    <t xml:space="preserve">RIC-13962</t>
  </si>
  <si>
    <t xml:space="preserve">Fotocellula tipo A 54 mm</t>
  </si>
  <si>
    <t xml:space="preserve">S4-B24</t>
  </si>
  <si>
    <t xml:space="preserve">RIC-13969</t>
  </si>
  <si>
    <t xml:space="preserve">Encoder tipo B 11 mm</t>
  </si>
  <si>
    <t xml:space="preserve">RIC-13976</t>
  </si>
  <si>
    <t xml:space="preserve">Lama di taglio tipo A 62 mm</t>
  </si>
  <si>
    <t xml:space="preserve">S6-C01</t>
  </si>
  <si>
    <t xml:space="preserve">RIC-13983</t>
  </si>
  <si>
    <t xml:space="preserve">Rullo trasportatore inox 79 mm</t>
  </si>
  <si>
    <t xml:space="preserve">RIC-13990</t>
  </si>
  <si>
    <t xml:space="preserve">Cuscinetto rinforzato 61 mm</t>
  </si>
  <si>
    <t xml:space="preserve">S7-C18</t>
  </si>
  <si>
    <t xml:space="preserve">RIC-13997</t>
  </si>
  <si>
    <t xml:space="preserve">Cinghia dentata tipo B 59 mm</t>
  </si>
  <si>
    <t xml:space="preserve">S7-D26</t>
  </si>
  <si>
    <t xml:space="preserve">RIC-14004</t>
  </si>
  <si>
    <t xml:space="preserve">Sensore induttivo tipo B 87 mm</t>
  </si>
  <si>
    <t xml:space="preserve">RIC-14011</t>
  </si>
  <si>
    <t xml:space="preserve">Elettrovalvola tipo B 35 mm</t>
  </si>
  <si>
    <t xml:space="preserve">S2-A27</t>
  </si>
  <si>
    <t xml:space="preserve">RIC-14018</t>
  </si>
  <si>
    <t xml:space="preserve">Guarnizione tipo A 61 mm</t>
  </si>
  <si>
    <t xml:space="preserve">RIC-14025</t>
  </si>
  <si>
    <t xml:space="preserve">Motoriduttore rinforzato 68 mm</t>
  </si>
  <si>
    <t xml:space="preserve">S1-D24</t>
  </si>
  <si>
    <t xml:space="preserve">RIC-14032</t>
  </si>
  <si>
    <t xml:space="preserve">Fotocellula rinforzato 85 mm</t>
  </si>
  <si>
    <t xml:space="preserve">S7-B27</t>
  </si>
  <si>
    <t xml:space="preserve">RIC-14039</t>
  </si>
  <si>
    <t xml:space="preserve">Encoder rinforzato 18 mm</t>
  </si>
  <si>
    <t xml:space="preserve">RIC-14046</t>
  </si>
  <si>
    <t xml:space="preserve">S4-E25</t>
  </si>
  <si>
    <t xml:space="preserve">RIC-14053</t>
  </si>
  <si>
    <t xml:space="preserve">Rullo trasportatore inox 54 mm</t>
  </si>
  <si>
    <t xml:space="preserve">S8-E08</t>
  </si>
  <si>
    <t xml:space="preserve">RIC-14060</t>
  </si>
  <si>
    <t xml:space="preserve">Cuscinetto rinforzato 77 mm</t>
  </si>
  <si>
    <t xml:space="preserve">S4-E06</t>
  </si>
  <si>
    <t xml:space="preserve">RIC-14067</t>
  </si>
  <si>
    <t xml:space="preserve">Cinghia dentata tipo B 96 mm</t>
  </si>
  <si>
    <t xml:space="preserve">RIC-14074</t>
  </si>
  <si>
    <t xml:space="preserve">RIC-14081</t>
  </si>
  <si>
    <t xml:space="preserve">S3-F09</t>
  </si>
  <si>
    <t xml:space="preserve">RIC-14088</t>
  </si>
  <si>
    <t xml:space="preserve">Guarnizione rinforzato 55 mm</t>
  </si>
  <si>
    <t xml:space="preserve">RIC-14095</t>
  </si>
  <si>
    <t xml:space="preserve">RIC-14102</t>
  </si>
  <si>
    <t xml:space="preserve">S3-A22</t>
  </si>
  <si>
    <t xml:space="preserve">RIC-14109</t>
  </si>
  <si>
    <t xml:space="preserve">Encoder inox 76 mm</t>
  </si>
  <si>
    <t xml:space="preserve">S4-E12</t>
  </si>
  <si>
    <t xml:space="preserve">RIC-14116</t>
  </si>
  <si>
    <t xml:space="preserve">Lama di taglio inox 42 mm</t>
  </si>
  <si>
    <t xml:space="preserve">RIC-14123</t>
  </si>
  <si>
    <t xml:space="preserve">Rullo trasportatore rinforzato 17 mm</t>
  </si>
  <si>
    <t xml:space="preserve">S3-C23</t>
  </si>
  <si>
    <t xml:space="preserve">RIC-14130</t>
  </si>
  <si>
    <t xml:space="preserve">Cuscinetto rinforzato 42 mm</t>
  </si>
  <si>
    <t xml:space="preserve">S4-C27</t>
  </si>
  <si>
    <t xml:space="preserve">RIC-14137</t>
  </si>
  <si>
    <t xml:space="preserve">Cinghia dentata inox 21 mm</t>
  </si>
  <si>
    <t xml:space="preserve">S4-B14</t>
  </si>
  <si>
    <t xml:space="preserve">RIC-14144</t>
  </si>
  <si>
    <t xml:space="preserve">Sensore induttivo rinforzato 15 mm</t>
  </si>
  <si>
    <t xml:space="preserve">RIC-14151</t>
  </si>
  <si>
    <t xml:space="preserve">Elettrovalvola inox 65 mm</t>
  </si>
  <si>
    <t xml:space="preserve">RIC-14158</t>
  </si>
  <si>
    <t xml:space="preserve">Guarnizione tipo B 89 mm</t>
  </si>
  <si>
    <t xml:space="preserve">S4-F19</t>
  </si>
  <si>
    <t xml:space="preserve">RIC-14165</t>
  </si>
  <si>
    <t xml:space="preserve">S2-A25</t>
  </si>
  <si>
    <t xml:space="preserve">RIC-14172</t>
  </si>
  <si>
    <t xml:space="preserve">Fotocellula inox 77 mm</t>
  </si>
  <si>
    <t xml:space="preserve">RIC-14179</t>
  </si>
  <si>
    <t xml:space="preserve">Encoder tipo A 85 mm</t>
  </si>
  <si>
    <t xml:space="preserve">RIC-14186</t>
  </si>
  <si>
    <t xml:space="preserve">Lama di taglio inox 70 mm</t>
  </si>
  <si>
    <t xml:space="preserve">S3-A15</t>
  </si>
  <si>
    <t xml:space="preserve">RIC-14193</t>
  </si>
  <si>
    <t xml:space="preserve">Rullo trasportatore tipo B 75 mm</t>
  </si>
  <si>
    <t xml:space="preserve">S1-F08</t>
  </si>
  <si>
    <t xml:space="preserve">RIC-14200</t>
  </si>
  <si>
    <t xml:space="preserve">Cuscinetto inox 79 mm</t>
  </si>
  <si>
    <t xml:space="preserve">RIC-14207</t>
  </si>
  <si>
    <t xml:space="preserve">Cinghia dentata inox 68 mm</t>
  </si>
  <si>
    <t xml:space="preserve">S2-A08</t>
  </si>
  <si>
    <t xml:space="preserve">RIC-14214</t>
  </si>
  <si>
    <t xml:space="preserve">Sensore induttivo tipo A 23 mm</t>
  </si>
  <si>
    <t xml:space="preserve">RIC-14221</t>
  </si>
  <si>
    <t xml:space="preserve">Elettrovalvola inox 17 mm</t>
  </si>
  <si>
    <t xml:space="preserve">RIC-14228</t>
  </si>
  <si>
    <t xml:space="preserve">Guarnizione inox 84 mm</t>
  </si>
  <si>
    <t xml:space="preserve">S3-D27</t>
  </si>
  <si>
    <t xml:space="preserve">RIC-14235</t>
  </si>
  <si>
    <t xml:space="preserve">Motoriduttore rinforzato 52 mm</t>
  </si>
  <si>
    <t xml:space="preserve">S4-E01</t>
  </si>
  <si>
    <t xml:space="preserve">RIC-14242</t>
  </si>
  <si>
    <t xml:space="preserve">Fotocellula rinforzato 76 mm</t>
  </si>
  <si>
    <t xml:space="preserve">S5-A11</t>
  </si>
  <si>
    <t xml:space="preserve">RIC-14249</t>
  </si>
  <si>
    <t xml:space="preserve">Encoder rinforzato 81 mm</t>
  </si>
  <si>
    <t xml:space="preserve">S7-E29</t>
  </si>
  <si>
    <t xml:space="preserve">RIC-14256</t>
  </si>
  <si>
    <t xml:space="preserve">S4-D26</t>
  </si>
  <si>
    <t xml:space="preserve">RIC-14263</t>
  </si>
  <si>
    <t xml:space="preserve">Rullo trasportatore rinforzato 49 mm</t>
  </si>
  <si>
    <t xml:space="preserve">S4-B02</t>
  </si>
  <si>
    <t xml:space="preserve">RIC-14270</t>
  </si>
  <si>
    <t xml:space="preserve">Cuscinetto rinforzato 69 mm</t>
  </si>
  <si>
    <t xml:space="preserve">S8-F19</t>
  </si>
  <si>
    <t xml:space="preserve">RIC-14277</t>
  </si>
  <si>
    <t xml:space="preserve">S8-F18</t>
  </si>
  <si>
    <t xml:space="preserve">RIC-14284</t>
  </si>
  <si>
    <t xml:space="preserve">Sensore induttivo rinforzato 11 mm</t>
  </si>
  <si>
    <t xml:space="preserve">RIC-14291</t>
  </si>
  <si>
    <t xml:space="preserve">Elettrovalvola tipo A 45 mm</t>
  </si>
  <si>
    <t xml:space="preserve">S4-D10</t>
  </si>
  <si>
    <t xml:space="preserve">RIC-14298</t>
  </si>
  <si>
    <t xml:space="preserve">RIC-14305</t>
  </si>
  <si>
    <t xml:space="preserve">Motoriduttore tipo B 65 mm</t>
  </si>
  <si>
    <t xml:space="preserve">S2-A05</t>
  </si>
  <si>
    <t xml:space="preserve">RIC-14312</t>
  </si>
  <si>
    <t xml:space="preserve">Fotocellula inox 33 mm</t>
  </si>
  <si>
    <t xml:space="preserve">S1-F18</t>
  </si>
  <si>
    <t xml:space="preserve">RIC-14319</t>
  </si>
  <si>
    <t xml:space="preserve">Encoder inox 38 mm</t>
  </si>
  <si>
    <t xml:space="preserve">RIC-14326</t>
  </si>
  <si>
    <t xml:space="preserve">Lama di taglio tipo B 36 mm</t>
  </si>
  <si>
    <t xml:space="preserve">S2-D04</t>
  </si>
  <si>
    <t xml:space="preserve">RIC-14333</t>
  </si>
  <si>
    <t xml:space="preserve">Rullo trasportatore tipo A 63 mm</t>
  </si>
  <si>
    <t xml:space="preserve">S4-F27</t>
  </si>
  <si>
    <t xml:space="preserve">RIC-14340</t>
  </si>
  <si>
    <t xml:space="preserve">Cuscinetto inox 29 mm</t>
  </si>
  <si>
    <t xml:space="preserve">RIC-14347</t>
  </si>
  <si>
    <t xml:space="preserve">Cinghia dentata inox 47 mm</t>
  </si>
  <si>
    <t xml:space="preserve">RIC-14354</t>
  </si>
  <si>
    <t xml:space="preserve">Sensore induttivo tipo B 49 mm</t>
  </si>
  <si>
    <t xml:space="preserve">RIC-14361</t>
  </si>
  <si>
    <t xml:space="preserve">Elettrovalvola tipo B 95 mm</t>
  </si>
  <si>
    <t xml:space="preserve">S4-D02</t>
  </si>
  <si>
    <t xml:space="preserve">RIC-14368</t>
  </si>
  <si>
    <t xml:space="preserve">S5-B21</t>
  </si>
  <si>
    <t xml:space="preserve">RIC-14375</t>
  </si>
  <si>
    <t xml:space="preserve">Motoriduttore tipo B 69 mm</t>
  </si>
  <si>
    <t xml:space="preserve">S3-F06</t>
  </si>
  <si>
    <t xml:space="preserve">RIC-14382</t>
  </si>
  <si>
    <t xml:space="preserve">Fotocellula inox 24 mm</t>
  </si>
  <si>
    <t xml:space="preserve">RIC-14389</t>
  </si>
  <si>
    <t xml:space="preserve">Encoder tipo A 47 mm</t>
  </si>
  <si>
    <t xml:space="preserve">S8-C01</t>
  </si>
  <si>
    <t xml:space="preserve">RIC-14396</t>
  </si>
  <si>
    <t xml:space="preserve">Lama di taglio tipo A 35 mm</t>
  </si>
  <si>
    <t xml:space="preserve">RIC-14403</t>
  </si>
  <si>
    <t xml:space="preserve">Rullo trasportatore tipo A 35 mm</t>
  </si>
  <si>
    <t xml:space="preserve">S3-D09</t>
  </si>
  <si>
    <t xml:space="preserve">RIC-14410</t>
  </si>
  <si>
    <t xml:space="preserve">Cuscinetto rinforzato 14 mm</t>
  </si>
  <si>
    <t xml:space="preserve">S2-A12</t>
  </si>
  <si>
    <t xml:space="preserve">RIC-14417</t>
  </si>
  <si>
    <t xml:space="preserve">Cinghia dentata rinforzato 16 mm</t>
  </si>
  <si>
    <t xml:space="preserve">RIC-14424</t>
  </si>
  <si>
    <t xml:space="preserve">Sensore induttivo tipo B 52 mm</t>
  </si>
  <si>
    <t xml:space="preserve">S6-B04</t>
  </si>
  <si>
    <t xml:space="preserve">RIC-14431</t>
  </si>
  <si>
    <t xml:space="preserve">Elettrovalvola tipo A 81 mm</t>
  </si>
  <si>
    <t xml:space="preserve">S8-A24</t>
  </si>
  <si>
    <t xml:space="preserve">RIC-14438</t>
  </si>
  <si>
    <t xml:space="preserve">Guarnizione tipo B 86 mm</t>
  </si>
  <si>
    <t xml:space="preserve">RIC-14445</t>
  </si>
  <si>
    <t xml:space="preserve">S3-D19</t>
  </si>
  <si>
    <t xml:space="preserve">RIC-14452</t>
  </si>
  <si>
    <t xml:space="preserve">Fotocellula tipo A 57 mm</t>
  </si>
  <si>
    <t xml:space="preserve">S3-C06</t>
  </si>
  <si>
    <t xml:space="preserve">RIC-14459</t>
  </si>
  <si>
    <t xml:space="preserve">Encoder rinforzato 10 mm</t>
  </si>
  <si>
    <t xml:space="preserve">S8-C05</t>
  </si>
  <si>
    <t xml:space="preserve">RIC-14466</t>
  </si>
  <si>
    <t xml:space="preserve">Lama di taglio tipo A 40 mm</t>
  </si>
  <si>
    <t xml:space="preserve">RIC-14473</t>
  </si>
  <si>
    <t xml:space="preserve">Rullo trasportatore tipo A 51 mm</t>
  </si>
  <si>
    <t xml:space="preserve">RIC-14480</t>
  </si>
  <si>
    <t xml:space="preserve">Cuscinetto tipo A 74 mm</t>
  </si>
  <si>
    <t xml:space="preserve">S5-C07</t>
  </si>
  <si>
    <t xml:space="preserve">RIC-14487</t>
  </si>
  <si>
    <t xml:space="preserve">Cinghia dentata tipo B 26 mm</t>
  </si>
  <si>
    <t xml:space="preserve">S4-F28</t>
  </si>
  <si>
    <t xml:space="preserve">RIC-14494</t>
  </si>
  <si>
    <t xml:space="preserve">RIC-14501</t>
  </si>
  <si>
    <t xml:space="preserve">S4-A25</t>
  </si>
  <si>
    <t xml:space="preserve">RIC-14508</t>
  </si>
  <si>
    <t xml:space="preserve">Guarnizione rinforzato 13 mm</t>
  </si>
  <si>
    <t xml:space="preserve">S7-D20</t>
  </si>
  <si>
    <t xml:space="preserve">RIC-14515</t>
  </si>
  <si>
    <t xml:space="preserve">RIC-14522</t>
  </si>
  <si>
    <t xml:space="preserve">Fotocellula tipo B 41 mm</t>
  </si>
  <si>
    <t xml:space="preserve">S1-B03</t>
  </si>
  <si>
    <t xml:space="preserve">RIC-14529</t>
  </si>
  <si>
    <t xml:space="preserve">Encoder tipo A 15 mm</t>
  </si>
  <si>
    <t xml:space="preserve">RIC-14536</t>
  </si>
  <si>
    <t xml:space="preserve">Lama di taglio rinforzato 53 mm</t>
  </si>
  <si>
    <t xml:space="preserve">RIC-14543</t>
  </si>
  <si>
    <t xml:space="preserve">Rullo trasportatore tipo A 50 mm</t>
  </si>
  <si>
    <t xml:space="preserve">RIC-14550</t>
  </si>
  <si>
    <t xml:space="preserve">Cuscinetto tipo B 75 mm</t>
  </si>
  <si>
    <t xml:space="preserve">RIC-14557</t>
  </si>
  <si>
    <t xml:space="preserve">Cinghia dentata tipo B 35 mm</t>
  </si>
  <si>
    <t xml:space="preserve">RIC-14564</t>
  </si>
  <si>
    <t xml:space="preserve">RIC-14571</t>
  </si>
  <si>
    <t xml:space="preserve">Elettrovalvola tipo A 87 mm</t>
  </si>
  <si>
    <t xml:space="preserve">RIC-14578</t>
  </si>
  <si>
    <t xml:space="preserve">Guarnizione rinforzato 62 mm</t>
  </si>
  <si>
    <t xml:space="preserve">S2-F23</t>
  </si>
  <si>
    <t xml:space="preserve">RIC-14585</t>
  </si>
  <si>
    <t xml:space="preserve">Motoriduttore tipo B 73 mm</t>
  </si>
  <si>
    <t xml:space="preserve">RIC-14592</t>
  </si>
  <si>
    <t xml:space="preserve">S3-D13</t>
  </si>
  <si>
    <t xml:space="preserve">RIC-14599</t>
  </si>
  <si>
    <t xml:space="preserve">Encoder rinforzato 85 mm</t>
  </si>
  <si>
    <t xml:space="preserve">RIC-14606</t>
  </si>
  <si>
    <t xml:space="preserve">Lama di taglio tipo B 40 mm</t>
  </si>
  <si>
    <t xml:space="preserve">S4-E15</t>
  </si>
  <si>
    <t xml:space="preserve">RIC-14613</t>
  </si>
  <si>
    <t xml:space="preserve">Rullo trasportatore inox 83 mm</t>
  </si>
  <si>
    <t xml:space="preserve">S1-D22</t>
  </si>
  <si>
    <t xml:space="preserve">RIC-14620</t>
  </si>
  <si>
    <t xml:space="preserve">Cuscinetto rinforzato 58 mm</t>
  </si>
  <si>
    <t xml:space="preserve">RIC-14627</t>
  </si>
  <si>
    <t xml:space="preserve">S1-C16</t>
  </si>
  <si>
    <t xml:space="preserve">RIC-14634</t>
  </si>
  <si>
    <t xml:space="preserve">Sensore induttivo tipo A 70 mm</t>
  </si>
  <si>
    <t xml:space="preserve">RIC-14641</t>
  </si>
  <si>
    <t xml:space="preserve">Elettrovalvola tipo B 52 mm</t>
  </si>
  <si>
    <t xml:space="preserve">RIC-14648</t>
  </si>
  <si>
    <t xml:space="preserve">Guarnizione tipo A 47 mm</t>
  </si>
  <si>
    <t xml:space="preserve">S6-A09</t>
  </si>
  <si>
    <t xml:space="preserve">RIC-14655</t>
  </si>
  <si>
    <t xml:space="preserve">Motoriduttore inox 94 mm</t>
  </si>
  <si>
    <t xml:space="preserve">S4-A07</t>
  </si>
  <si>
    <t xml:space="preserve">RIC-14662</t>
  </si>
  <si>
    <t xml:space="preserve">S7-C11</t>
  </si>
  <si>
    <t xml:space="preserve">RIC-14669</t>
  </si>
  <si>
    <t xml:space="preserve">Encoder tipo B 38 mm</t>
  </si>
  <si>
    <t xml:space="preserve">S6-E29</t>
  </si>
  <si>
    <t xml:space="preserve">RIC-14676</t>
  </si>
  <si>
    <t xml:space="preserve">Lama di taglio rinforzato 73 mm</t>
  </si>
  <si>
    <t xml:space="preserve">S6-E26</t>
  </si>
  <si>
    <t xml:space="preserve">RIC-14683</t>
  </si>
  <si>
    <t xml:space="preserve">S1-A28</t>
  </si>
  <si>
    <t xml:space="preserve">RIC-14690</t>
  </si>
  <si>
    <t xml:space="preserve">Cuscinetto tipo B 68 mm</t>
  </si>
  <si>
    <t xml:space="preserve">S5-F12</t>
  </si>
  <si>
    <t xml:space="preserve">RIC-14697</t>
  </si>
  <si>
    <t xml:space="preserve">Cinghia dentata inox 27 mm</t>
  </si>
  <si>
    <t xml:space="preserve">S5-F14</t>
  </si>
  <si>
    <t xml:space="preserve">RIC-14704</t>
  </si>
  <si>
    <t xml:space="preserve">Sensore induttivo rinforzato 66 mm</t>
  </si>
  <si>
    <t xml:space="preserve">S5-C12</t>
  </si>
  <si>
    <t xml:space="preserve">RIC-14711</t>
  </si>
  <si>
    <t xml:space="preserve">RIC-14718</t>
  </si>
  <si>
    <t xml:space="preserve">Guarnizione tipo A 97 mm</t>
  </si>
  <si>
    <t xml:space="preserve">S2-E13</t>
  </si>
  <si>
    <t xml:space="preserve">RIC-14725</t>
  </si>
  <si>
    <t xml:space="preserve">Motoriduttore tipo B 87 mm</t>
  </si>
  <si>
    <t xml:space="preserve">S8-A11</t>
  </si>
  <si>
    <t xml:space="preserve">RIC-14732</t>
  </si>
  <si>
    <t xml:space="preserve">Fotocellula tipo A 44 mm</t>
  </si>
  <si>
    <t xml:space="preserve">S3-B19</t>
  </si>
  <si>
    <t xml:space="preserve">RIC-14739</t>
  </si>
  <si>
    <t xml:space="preserve">Encoder tipo A 60 mm</t>
  </si>
  <si>
    <t xml:space="preserve">RIC-14746</t>
  </si>
  <si>
    <t xml:space="preserve">Lama di taglio tipo B 47 mm</t>
  </si>
  <si>
    <t xml:space="preserve">S1-D18</t>
  </si>
  <si>
    <t xml:space="preserve">RIC-14753</t>
  </si>
  <si>
    <t xml:space="preserve">Rullo trasportatore inox 73 mm</t>
  </si>
  <si>
    <t xml:space="preserve">S6-F29</t>
  </si>
  <si>
    <t xml:space="preserve">RIC-14760</t>
  </si>
  <si>
    <t xml:space="preserve">Cuscinetto tipo B 83 mm</t>
  </si>
  <si>
    <t xml:space="preserve">RIC-14767</t>
  </si>
  <si>
    <t xml:space="preserve">S1-B10</t>
  </si>
  <si>
    <t xml:space="preserve">RIC-14774</t>
  </si>
  <si>
    <t xml:space="preserve">Sensore induttivo tipo B 97 mm</t>
  </si>
  <si>
    <t xml:space="preserve">S5-A19</t>
  </si>
  <si>
    <t xml:space="preserve">RIC-14781</t>
  </si>
  <si>
    <t xml:space="preserve">Elettrovalvola rinforzato 98 mm</t>
  </si>
  <si>
    <t xml:space="preserve">S3-C10</t>
  </si>
  <si>
    <t xml:space="preserve">RIC-14788</t>
  </si>
  <si>
    <t xml:space="preserve">S6-D13</t>
  </si>
  <si>
    <t xml:space="preserve">RIC-14795</t>
  </si>
  <si>
    <t xml:space="preserve">Motoriduttore rinforzato 60 mm</t>
  </si>
  <si>
    <t xml:space="preserve">S6-D26</t>
  </si>
  <si>
    <t xml:space="preserve">RIC-14802</t>
  </si>
  <si>
    <t xml:space="preserve">Fotocellula tipo A 36 mm</t>
  </si>
  <si>
    <t xml:space="preserve">S8-E27</t>
  </si>
  <si>
    <t xml:space="preserve">RIC-14809</t>
  </si>
  <si>
    <t xml:space="preserve">Encoder rinforzato 15 mm</t>
  </si>
  <si>
    <t xml:space="preserve">RIC-14816</t>
  </si>
  <si>
    <t xml:space="preserve">Lama di taglio inox 19 mm</t>
  </si>
  <si>
    <t xml:space="preserve">S5-D12</t>
  </si>
  <si>
    <t xml:space="preserve">RIC-14823</t>
  </si>
  <si>
    <t xml:space="preserve">Rullo trasportatore rinforzato 90 mm</t>
  </si>
  <si>
    <t xml:space="preserve">S2-C15</t>
  </si>
  <si>
    <t xml:space="preserve">RIC-14830</t>
  </si>
  <si>
    <t xml:space="preserve">Cuscinetto tipo A 78 mm</t>
  </si>
  <si>
    <t xml:space="preserve">RIC-14837</t>
  </si>
  <si>
    <t xml:space="preserve">Cinghia dentata tipo B 18 mm</t>
  </si>
  <si>
    <t xml:space="preserve">S2-E22</t>
  </si>
  <si>
    <t xml:space="preserve">RIC-14844</t>
  </si>
  <si>
    <t xml:space="preserve">Sensore induttivo tipo A 49 mm</t>
  </si>
  <si>
    <t xml:space="preserve">RIC-14851</t>
  </si>
  <si>
    <t xml:space="preserve">Elettrovalvola inox 60 mm</t>
  </si>
  <si>
    <t xml:space="preserve">RIC-14858</t>
  </si>
  <si>
    <t xml:space="preserve">S3-E24</t>
  </si>
  <si>
    <t xml:space="preserve">RIC-14865</t>
  </si>
  <si>
    <t xml:space="preserve">Motoriduttore rinforzato 27 mm</t>
  </si>
  <si>
    <t xml:space="preserve">S4-C22</t>
  </si>
  <si>
    <t xml:space="preserve">RIC-14872</t>
  </si>
  <si>
    <t xml:space="preserve">Fotocellula tipo A 74 mm</t>
  </si>
  <si>
    <t xml:space="preserve">S1-E22</t>
  </si>
  <si>
    <t xml:space="preserve">RIC-14879</t>
  </si>
  <si>
    <t xml:space="preserve">Encoder inox 61 mm</t>
  </si>
  <si>
    <t xml:space="preserve">S4-E24</t>
  </si>
  <si>
    <t xml:space="preserve">RIC-14886</t>
  </si>
  <si>
    <t xml:space="preserve">Lama di taglio tipo B 38 mm</t>
  </si>
  <si>
    <t xml:space="preserve">RIC-14893</t>
  </si>
  <si>
    <t xml:space="preserve">Rullo trasportatore tipo A 93 mm</t>
  </si>
  <si>
    <t xml:space="preserve">S7-C05</t>
  </si>
  <si>
    <t xml:space="preserve">RIC-14900</t>
  </si>
  <si>
    <t xml:space="preserve">Cuscinetto rinforzato 18 mm</t>
  </si>
  <si>
    <t xml:space="preserve">RIC-14907</t>
  </si>
  <si>
    <t xml:space="preserve">Cinghia dentata rinforzato 22 mm</t>
  </si>
  <si>
    <t xml:space="preserve">RIC-14914</t>
  </si>
  <si>
    <t xml:space="preserve">Sensore induttivo rinforzato 12 mm</t>
  </si>
  <si>
    <t xml:space="preserve">RIC-14921</t>
  </si>
  <si>
    <t xml:space="preserve">Elettrovalvola tipo A 68 mm</t>
  </si>
  <si>
    <t xml:space="preserve">RIC-14928</t>
  </si>
  <si>
    <t xml:space="preserve">RIC-14935</t>
  </si>
  <si>
    <t xml:space="preserve">Motoriduttore tipo A 71 mm</t>
  </si>
  <si>
    <t xml:space="preserve">S4-C21</t>
  </si>
  <si>
    <t xml:space="preserve">RIC-14942</t>
  </si>
  <si>
    <t xml:space="preserve">Fotocellula rinforzato 77 mm</t>
  </si>
  <si>
    <t xml:space="preserve">S4-B18</t>
  </si>
  <si>
    <t xml:space="preserve">RIC-14949</t>
  </si>
  <si>
    <t xml:space="preserve">Encoder rinforzato 83 mm</t>
  </si>
  <si>
    <t xml:space="preserve">S1-B25</t>
  </si>
  <si>
    <t xml:space="preserve">RIC-14956</t>
  </si>
  <si>
    <t xml:space="preserve">S6-A21</t>
  </si>
  <si>
    <t xml:space="preserve">RIC-14963</t>
  </si>
  <si>
    <t xml:space="preserve">RIC-14970</t>
  </si>
  <si>
    <t xml:space="preserve">Cuscinetto tipo A 57 mm</t>
  </si>
  <si>
    <t xml:space="preserve">S6-F09</t>
  </si>
  <si>
    <t xml:space="preserve">RIC-14977</t>
  </si>
  <si>
    <t xml:space="preserve">S8-F29</t>
  </si>
  <si>
    <t xml:space="preserve">RIC-14984</t>
  </si>
  <si>
    <t xml:space="preserve">S6-E07</t>
  </si>
  <si>
    <t xml:space="preserve">RIC-14991</t>
  </si>
  <si>
    <t xml:space="preserve">Elettrovalvola tipo B 46 mm</t>
  </si>
  <si>
    <t xml:space="preserve">S4-A24</t>
  </si>
  <si>
    <t xml:space="preserve">RIC-14998</t>
  </si>
  <si>
    <t xml:space="preserve">Guarnizione tipo A 66 mm</t>
  </si>
  <si>
    <t xml:space="preserve">RIC-15005</t>
  </si>
  <si>
    <t xml:space="preserve">Motoriduttore tipo B 81 mm</t>
  </si>
  <si>
    <t xml:space="preserve">S5-F26</t>
  </si>
  <si>
    <t xml:space="preserve">RIC-15012</t>
  </si>
  <si>
    <t xml:space="preserve">Fotocellula tipo A 18 mm</t>
  </si>
  <si>
    <t xml:space="preserve">RIC-15019</t>
  </si>
  <si>
    <t xml:space="preserve">S6-F06</t>
  </si>
  <si>
    <t xml:space="preserve">RIC-15026</t>
  </si>
  <si>
    <t xml:space="preserve">Lama di taglio rinforzato 49 mm</t>
  </si>
  <si>
    <t xml:space="preserve">S2-A24</t>
  </si>
  <si>
    <t xml:space="preserve">RIC-15033</t>
  </si>
  <si>
    <t xml:space="preserve">Rullo trasportatore inox 13 mm</t>
  </si>
  <si>
    <t xml:space="preserve">RIC-15040</t>
  </si>
  <si>
    <t xml:space="preserve">Cuscinetto rinforzato 70 mm</t>
  </si>
  <si>
    <t xml:space="preserve">RIC-15047</t>
  </si>
  <si>
    <t xml:space="preserve">Cinghia dentata inox 26 mm</t>
  </si>
  <si>
    <t xml:space="preserve">S2-E19</t>
  </si>
  <si>
    <t xml:space="preserve">RIC-15054</t>
  </si>
  <si>
    <t xml:space="preserve">Sensore induttivo inox 36 mm</t>
  </si>
  <si>
    <t xml:space="preserve">S6-C22</t>
  </si>
  <si>
    <t xml:space="preserve">RIC-15061</t>
  </si>
  <si>
    <t xml:space="preserve">Elettrovalvola rinforzato 76 mm</t>
  </si>
  <si>
    <t xml:space="preserve">RIC-15068</t>
  </si>
  <si>
    <t xml:space="preserve">S3-A04</t>
  </si>
  <si>
    <t xml:space="preserve">RIC-15075</t>
  </si>
  <si>
    <t xml:space="preserve">Motoriduttore inox 13 mm</t>
  </si>
  <si>
    <t xml:space="preserve">RIC-15082</t>
  </si>
  <si>
    <t xml:space="preserve">Fotocellula tipo B 83 mm</t>
  </si>
  <si>
    <t xml:space="preserve">RIC-15089</t>
  </si>
  <si>
    <t xml:space="preserve">Encoder inox 72 mm</t>
  </si>
  <si>
    <t xml:space="preserve">RIC-15096</t>
  </si>
  <si>
    <t xml:space="preserve">Lama di taglio inox 23 mm</t>
  </si>
  <si>
    <t xml:space="preserve">S2-E29</t>
  </si>
  <si>
    <t xml:space="preserve">RIC-15103</t>
  </si>
  <si>
    <t xml:space="preserve">Rullo trasportatore inox 68 mm</t>
  </si>
  <si>
    <t xml:space="preserve">S8-A19</t>
  </si>
  <si>
    <t xml:space="preserve">RIC-15110</t>
  </si>
  <si>
    <t xml:space="preserve">Cuscinetto inox 31 mm</t>
  </si>
  <si>
    <t xml:space="preserve">S7-F22</t>
  </si>
  <si>
    <t xml:space="preserve">RIC-15117</t>
  </si>
  <si>
    <t xml:space="preserve">Cinghia dentata inox 98 mm</t>
  </si>
  <si>
    <t xml:space="preserve">S8-E05</t>
  </si>
  <si>
    <t xml:space="preserve">RIC-15124</t>
  </si>
  <si>
    <t xml:space="preserve">Sensore induttivo inox 18 mm</t>
  </si>
  <si>
    <t xml:space="preserve">RIC-15131</t>
  </si>
  <si>
    <t xml:space="preserve">S1-B04</t>
  </si>
  <si>
    <t xml:space="preserve">RIC-15138</t>
  </si>
  <si>
    <t xml:space="preserve">RIC-15145</t>
  </si>
  <si>
    <t xml:space="preserve">Motoriduttore tipo A 81 mm</t>
  </si>
  <si>
    <t xml:space="preserve">RIC-15152</t>
  </si>
  <si>
    <t xml:space="preserve">Fotocellula tipo A 71 mm</t>
  </si>
  <si>
    <t xml:space="preserve">S2-F04</t>
  </si>
  <si>
    <t xml:space="preserve">RIC-15159</t>
  </si>
  <si>
    <t xml:space="preserve">Encoder tipo B 88 mm</t>
  </si>
  <si>
    <t xml:space="preserve">RIC-15166</t>
  </si>
  <si>
    <t xml:space="preserve">RIC-15173</t>
  </si>
  <si>
    <t xml:space="preserve">Rullo trasportatore tipo A 16 mm</t>
  </si>
  <si>
    <t xml:space="preserve">S5-D13</t>
  </si>
  <si>
    <t xml:space="preserve">RIC-15180</t>
  </si>
  <si>
    <t xml:space="preserve">Cuscinetto tipo B 13 mm</t>
  </si>
  <si>
    <t xml:space="preserve">S3-E26</t>
  </si>
  <si>
    <t xml:space="preserve">RIC-15187</t>
  </si>
  <si>
    <t xml:space="preserve">Cinghia dentata tipo B 25 mm</t>
  </si>
  <si>
    <t xml:space="preserve">RIC-15194</t>
  </si>
  <si>
    <t xml:space="preserve">Sensore induttivo tipo A 79 mm</t>
  </si>
  <si>
    <t xml:space="preserve">S6-F04</t>
  </si>
  <si>
    <t xml:space="preserve">RIC-15201</t>
  </si>
  <si>
    <t xml:space="preserve">Elettrovalvola tipo A 21 mm</t>
  </si>
  <si>
    <t xml:space="preserve">RIC-15208</t>
  </si>
  <si>
    <t xml:space="preserve">Guarnizione tipo B 73 mm</t>
  </si>
  <si>
    <t xml:space="preserve">S6-B01</t>
  </si>
  <si>
    <t xml:space="preserve">RIC-15215</t>
  </si>
  <si>
    <t xml:space="preserve">Motoriduttore tipo A 24 mm</t>
  </si>
  <si>
    <t xml:space="preserve">RIC-15222</t>
  </si>
  <si>
    <t xml:space="preserve">Fotocellula tipo B 20 mm</t>
  </si>
  <si>
    <t xml:space="preserve">RIC-15229</t>
  </si>
  <si>
    <t xml:space="preserve">Encoder tipo B 65 mm</t>
  </si>
  <si>
    <t xml:space="preserve">RIC-15236</t>
  </si>
  <si>
    <t xml:space="preserve">Lama di taglio rinforzato 27 mm</t>
  </si>
  <si>
    <t xml:space="preserve">S5-C28</t>
  </si>
  <si>
    <t xml:space="preserve">RIC-15243</t>
  </si>
  <si>
    <t xml:space="preserve">Rullo trasportatore rinforzato 58 mm</t>
  </si>
  <si>
    <t xml:space="preserve">RIC-15250</t>
  </si>
  <si>
    <t xml:space="preserve">Cuscinetto rinforzato 45 mm</t>
  </si>
  <si>
    <t xml:space="preserve">S4-A14</t>
  </si>
  <si>
    <t xml:space="preserve">RIC-15257</t>
  </si>
  <si>
    <t xml:space="preserve">Cinghia dentata rinforzato 39 mm</t>
  </si>
  <si>
    <t xml:space="preserve">RIC-15264</t>
  </si>
  <si>
    <t xml:space="preserve">Sensore induttivo rinforzato 20 mm</t>
  </si>
  <si>
    <t xml:space="preserve">RIC-15271</t>
  </si>
  <si>
    <t xml:space="preserve">Elettrovalvola inox 90 mm</t>
  </si>
  <si>
    <t xml:space="preserve">RIC-15278</t>
  </si>
  <si>
    <t xml:space="preserve">Guarnizione inox 30 mm</t>
  </si>
  <si>
    <t xml:space="preserve">RIC-15285</t>
  </si>
  <si>
    <t xml:space="preserve">Motoriduttore tipo B 62 mm</t>
  </si>
  <si>
    <t xml:space="preserve">RIC-15292</t>
  </si>
  <si>
    <t xml:space="preserve">Fotocellula tipo A 43 mm</t>
  </si>
  <si>
    <t xml:space="preserve">S7-F04</t>
  </si>
  <si>
    <t xml:space="preserve">RIC-15299</t>
  </si>
  <si>
    <t xml:space="preserve">Encoder inox 88 mm</t>
  </si>
  <si>
    <t xml:space="preserve">S3-F24</t>
  </si>
  <si>
    <t xml:space="preserve">RIC-15306</t>
  </si>
  <si>
    <t xml:space="preserve">Lama di taglio tipo B 53 mm</t>
  </si>
  <si>
    <t xml:space="preserve">S5-A03</t>
  </si>
  <si>
    <t xml:space="preserve">RIC-15313</t>
  </si>
  <si>
    <t xml:space="preserve">Rullo trasportatore rinforzato 89 mm</t>
  </si>
  <si>
    <t xml:space="preserve">S3-F03</t>
  </si>
  <si>
    <t xml:space="preserve">RIC-15320</t>
  </si>
  <si>
    <t xml:space="preserve">Cuscinetto inox 48 mm</t>
  </si>
  <si>
    <t xml:space="preserve">RIC-15327</t>
  </si>
  <si>
    <t xml:space="preserve">RIC-15334</t>
  </si>
  <si>
    <t xml:space="preserve">S5-D06</t>
  </si>
  <si>
    <t xml:space="preserve">RIC-15341</t>
  </si>
  <si>
    <t xml:space="preserve">Elettrovalvola rinforzato 48 mm</t>
  </si>
  <si>
    <t xml:space="preserve">S7-D23</t>
  </si>
  <si>
    <t xml:space="preserve">RIC-15348</t>
  </si>
  <si>
    <t xml:space="preserve">Guarnizione inox 22 mm</t>
  </si>
  <si>
    <t xml:space="preserve">S8-C11</t>
  </si>
  <si>
    <t xml:space="preserve">RIC-15355</t>
  </si>
  <si>
    <t xml:space="preserve">S4-A28</t>
  </si>
  <si>
    <t xml:space="preserve">RIC-15362</t>
  </si>
  <si>
    <t xml:space="preserve">Fotocellula rinforzato 45 mm</t>
  </si>
  <si>
    <t xml:space="preserve">RIC-15369</t>
  </si>
  <si>
    <t xml:space="preserve">S5-F09</t>
  </si>
  <si>
    <t xml:space="preserve">RIC-15376</t>
  </si>
  <si>
    <t xml:space="preserve">Lama di taglio tipo B 71 mm</t>
  </si>
  <si>
    <t xml:space="preserve">RIC-15383</t>
  </si>
  <si>
    <t xml:space="preserve">Rullo trasportatore tipo B 17 mm</t>
  </si>
  <si>
    <t xml:space="preserve">RIC-15390</t>
  </si>
  <si>
    <t xml:space="preserve">Cuscinetto rinforzato 56 mm</t>
  </si>
  <si>
    <t xml:space="preserve">RIC-15397</t>
  </si>
  <si>
    <t xml:space="preserve">Cinghia dentata rinforzato 56 mm</t>
  </si>
  <si>
    <t xml:space="preserve">S3-E22</t>
  </si>
  <si>
    <t xml:space="preserve">RIC-15404</t>
  </si>
  <si>
    <t xml:space="preserve">Sensore induttivo tipo B 46 mm</t>
  </si>
  <si>
    <t xml:space="preserve">RIC-15411</t>
  </si>
  <si>
    <t xml:space="preserve">Elettrovalvola tipo B 59 mm</t>
  </si>
  <si>
    <t xml:space="preserve">RIC-15418</t>
  </si>
  <si>
    <t xml:space="preserve">RIC-15425</t>
  </si>
  <si>
    <t xml:space="preserve">Motoriduttore tipo B 46 mm</t>
  </si>
  <si>
    <t xml:space="preserve">S1-D15</t>
  </si>
  <si>
    <t xml:space="preserve">RIC-15432</t>
  </si>
  <si>
    <t xml:space="preserve">Fotocellula tipo A 68 mm</t>
  </si>
  <si>
    <t xml:space="preserve">RIC-15439</t>
  </si>
  <si>
    <t xml:space="preserve">Encoder inox 32 mm</t>
  </si>
  <si>
    <t xml:space="preserve">S4-D15</t>
  </si>
  <si>
    <t xml:space="preserve">RIC-15446</t>
  </si>
  <si>
    <t xml:space="preserve">Lama di taglio tipo B 18 mm</t>
  </si>
  <si>
    <t xml:space="preserve">S5-C15</t>
  </si>
  <si>
    <t xml:space="preserve">RIC-15453</t>
  </si>
  <si>
    <t xml:space="preserve">Rullo trasportatore rinforzato 81 mm</t>
  </si>
  <si>
    <t xml:space="preserve">S1-A17</t>
  </si>
  <si>
    <t xml:space="preserve">RIC-15460</t>
  </si>
  <si>
    <t xml:space="preserve">RIC-15467</t>
  </si>
  <si>
    <t xml:space="preserve">Cinghia dentata tipo A 40 mm</t>
  </si>
  <si>
    <t xml:space="preserve">S3-E28</t>
  </si>
  <si>
    <t xml:space="preserve">RIC-15474</t>
  </si>
  <si>
    <t xml:space="preserve">Sensore induttivo tipo A 20 mm</t>
  </si>
  <si>
    <t xml:space="preserve">S8-C15</t>
  </si>
  <si>
    <t xml:space="preserve">RIC-15481</t>
  </si>
  <si>
    <t xml:space="preserve">Elettrovalvola tipo B 19 mm</t>
  </si>
  <si>
    <t xml:space="preserve">RIC-15488</t>
  </si>
  <si>
    <t xml:space="preserve">Guarnizione rinforzato 94 mm</t>
  </si>
  <si>
    <t xml:space="preserve">RIC-15495</t>
  </si>
  <si>
    <t xml:space="preserve">Motoriduttore inox 42 mm</t>
  </si>
  <si>
    <t xml:space="preserve">RIC-15502</t>
  </si>
  <si>
    <t xml:space="preserve">Fotocellula tipo A 92 mm</t>
  </si>
  <si>
    <t xml:space="preserve">S8-F24</t>
  </si>
  <si>
    <t xml:space="preserve">RIC-15509</t>
  </si>
  <si>
    <t xml:space="preserve">Encoder tipo B 73 mm</t>
  </si>
  <si>
    <t xml:space="preserve">RIC-15516</t>
  </si>
  <si>
    <t xml:space="preserve">Lama di taglio rinforzato 15 mm</t>
  </si>
  <si>
    <t xml:space="preserve">RIC-15523</t>
  </si>
  <si>
    <t xml:space="preserve">Rullo trasportatore tipo B 12 mm</t>
  </si>
  <si>
    <t xml:space="preserve">S8-F03</t>
  </si>
  <si>
    <t xml:space="preserve">RIC-15530</t>
  </si>
  <si>
    <t xml:space="preserve">Cuscinetto tipo A 46 mm</t>
  </si>
  <si>
    <t xml:space="preserve">S8-B27</t>
  </si>
  <si>
    <t xml:space="preserve">RIC-15537</t>
  </si>
  <si>
    <t xml:space="preserve">Cinghia dentata rinforzato 84 mm</t>
  </si>
  <si>
    <t xml:space="preserve">RIC-15544</t>
  </si>
  <si>
    <t xml:space="preserve">Sensore induttivo tipo A 56 mm</t>
  </si>
  <si>
    <t xml:space="preserve">S8-B03</t>
  </si>
  <si>
    <t xml:space="preserve">RIC-15551</t>
  </si>
  <si>
    <t xml:space="preserve">Elettrovalvola inox 96 mm</t>
  </si>
  <si>
    <t xml:space="preserve">S4-E29</t>
  </si>
  <si>
    <t xml:space="preserve">RIC-15558</t>
  </si>
  <si>
    <t xml:space="preserve">Guarnizione inox 35 mm</t>
  </si>
  <si>
    <t xml:space="preserve">RIC-15565</t>
  </si>
  <si>
    <t xml:space="preserve">S3-C14</t>
  </si>
  <si>
    <t xml:space="preserve">RIC-15572</t>
  </si>
  <si>
    <t xml:space="preserve">Fotocellula rinforzato 30 mm</t>
  </si>
  <si>
    <t xml:space="preserve">S4-A05</t>
  </si>
  <si>
    <t xml:space="preserve">RIC-15579</t>
  </si>
  <si>
    <t xml:space="preserve">Encoder inox 70 mm</t>
  </si>
  <si>
    <t xml:space="preserve">S7-B09</t>
  </si>
  <si>
    <t xml:space="preserve">RIC-15586</t>
  </si>
  <si>
    <t xml:space="preserve">Lama di taglio tipo A 45 mm</t>
  </si>
  <si>
    <t xml:space="preserve">RIC-15593</t>
  </si>
  <si>
    <t xml:space="preserve">S3-B14</t>
  </si>
  <si>
    <t xml:space="preserve">RIC-15600</t>
  </si>
  <si>
    <t xml:space="preserve">S5-E22</t>
  </si>
  <si>
    <t xml:space="preserve">RIC-15607</t>
  </si>
  <si>
    <t xml:space="preserve">Cinghia dentata rinforzato 62 mm</t>
  </si>
  <si>
    <t xml:space="preserve">S2-A14</t>
  </si>
  <si>
    <t xml:space="preserve">RIC-15614</t>
  </si>
  <si>
    <t xml:space="preserve">Sensore induttivo tipo A 47 mm</t>
  </si>
  <si>
    <t xml:space="preserve">RIC-15621</t>
  </si>
  <si>
    <t xml:space="preserve">Elettrovalvola inox 19 mm</t>
  </si>
  <si>
    <t xml:space="preserve">S7-C26</t>
  </si>
  <si>
    <t xml:space="preserve">RIC-15628</t>
  </si>
  <si>
    <t xml:space="preserve">S4-D22</t>
  </si>
  <si>
    <t xml:space="preserve">RIC-15635</t>
  </si>
  <si>
    <t xml:space="preserve">Motoriduttore rinforzato 76 mm</t>
  </si>
  <si>
    <t xml:space="preserve">RIC-15642</t>
  </si>
  <si>
    <t xml:space="preserve">RIC-15649</t>
  </si>
  <si>
    <t xml:space="preserve">Encoder rinforzato 96 mm</t>
  </si>
  <si>
    <t xml:space="preserve">RIC-15656</t>
  </si>
  <si>
    <t xml:space="preserve">S6-A15</t>
  </si>
  <si>
    <t xml:space="preserve">RIC-15663</t>
  </si>
  <si>
    <t xml:space="preserve">Rullo trasportatore tipo B 69 mm</t>
  </si>
  <si>
    <t xml:space="preserve">RIC-15670</t>
  </si>
  <si>
    <t xml:space="preserve">Cuscinetto inox 61 mm</t>
  </si>
  <si>
    <t xml:space="preserve">RIC-15677</t>
  </si>
  <si>
    <t xml:space="preserve">Cinghia dentata inox 94 mm</t>
  </si>
  <si>
    <t xml:space="preserve">RIC-15684</t>
  </si>
  <si>
    <t xml:space="preserve">Sensore induttivo rinforzato 24 mm</t>
  </si>
  <si>
    <t xml:space="preserve">RIC-15691</t>
  </si>
  <si>
    <t xml:space="preserve">Elettrovalvola inox 92 mm</t>
  </si>
  <si>
    <t xml:space="preserve">RIC-15698</t>
  </si>
  <si>
    <t xml:space="preserve">S7-C06</t>
  </si>
  <si>
    <t xml:space="preserve">RIC-15705</t>
  </si>
  <si>
    <t xml:space="preserve">Motoriduttore tipo A 96 mm</t>
  </si>
  <si>
    <t xml:space="preserve">RIC-15712</t>
  </si>
  <si>
    <t xml:space="preserve">RIC-15719</t>
  </si>
  <si>
    <t xml:space="preserve">S5-B27</t>
  </si>
  <si>
    <t xml:space="preserve">RIC-15726</t>
  </si>
  <si>
    <t xml:space="preserve">Lama di taglio inox 95 mm</t>
  </si>
  <si>
    <t xml:space="preserve">RIC-15733</t>
  </si>
  <si>
    <t xml:space="preserve">Rullo trasportatore inox 81 mm</t>
  </si>
  <si>
    <t xml:space="preserve">RIC-15740</t>
  </si>
  <si>
    <t xml:space="preserve">Cuscinetto tipo B 20 mm</t>
  </si>
  <si>
    <t xml:space="preserve">S4-A06</t>
  </si>
  <si>
    <t xml:space="preserve">RIC-15747</t>
  </si>
  <si>
    <t xml:space="preserve">Cinghia dentata rinforzato 40 mm</t>
  </si>
  <si>
    <t xml:space="preserve">RIC-15754</t>
  </si>
  <si>
    <t xml:space="preserve">Sensore induttivo tipo B 29 mm</t>
  </si>
  <si>
    <t xml:space="preserve">RIC-15761</t>
  </si>
  <si>
    <t xml:space="preserve">Elettrovalvola rinforzato 47 mm</t>
  </si>
  <si>
    <t xml:space="preserve">S7-F16</t>
  </si>
  <si>
    <t xml:space="preserve">RIC-15768</t>
  </si>
  <si>
    <t xml:space="preserve">Guarnizione rinforzato 17 mm</t>
  </si>
  <si>
    <t xml:space="preserve">S2-C06</t>
  </si>
  <si>
    <t xml:space="preserve">RIC-15775</t>
  </si>
  <si>
    <t xml:space="preserve">Motoriduttore tipo A 89 mm</t>
  </si>
  <si>
    <t xml:space="preserve">S1-F09</t>
  </si>
  <si>
    <t xml:space="preserve">RIC-15782</t>
  </si>
  <si>
    <t xml:space="preserve">S8-B07</t>
  </si>
  <si>
    <t xml:space="preserve">RIC-15789</t>
  </si>
  <si>
    <t xml:space="preserve">Encoder tipo A 29 mm</t>
  </si>
  <si>
    <t xml:space="preserve">S7-D10</t>
  </si>
  <si>
    <t xml:space="preserve">RIC-15796</t>
  </si>
  <si>
    <t xml:space="preserve">Lama di taglio tipo B 49 mm</t>
  </si>
  <si>
    <t xml:space="preserve">RIC-15803</t>
  </si>
  <si>
    <t xml:space="preserve">Rullo trasportatore tipo B 34 mm</t>
  </si>
  <si>
    <t xml:space="preserve">S8-D26</t>
  </si>
  <si>
    <t xml:space="preserve">RIC-15810</t>
  </si>
  <si>
    <t xml:space="preserve">Cuscinetto tipo A 94 mm</t>
  </si>
  <si>
    <t xml:space="preserve">S8-E14</t>
  </si>
  <si>
    <t xml:space="preserve">RIC-15817</t>
  </si>
  <si>
    <t xml:space="preserve">Cinghia dentata tipo B 84 mm</t>
  </si>
  <si>
    <t xml:space="preserve">RIC-15824</t>
  </si>
  <si>
    <t xml:space="preserve">RIC-15831</t>
  </si>
  <si>
    <t xml:space="preserve">Elettrovalvola tipo A 39 mm</t>
  </si>
  <si>
    <t xml:space="preserve">S1-B17</t>
  </si>
  <si>
    <t xml:space="preserve">RIC-15838</t>
  </si>
  <si>
    <t xml:space="preserve">Guarnizione inox 88 mm</t>
  </si>
  <si>
    <t xml:space="preserve">S4-B07</t>
  </si>
  <si>
    <t xml:space="preserve">RIC-15845</t>
  </si>
  <si>
    <t xml:space="preserve">Motoriduttore tipo B 30 mm</t>
  </si>
  <si>
    <t xml:space="preserve">S1-B15</t>
  </si>
  <si>
    <t xml:space="preserve">RIC-15852</t>
  </si>
  <si>
    <t xml:space="preserve">Fotocellula rinforzato 60 mm</t>
  </si>
  <si>
    <t xml:space="preserve">RIC-15859</t>
  </si>
  <si>
    <t xml:space="preserve">Encoder rinforzato 21 mm</t>
  </si>
  <si>
    <t xml:space="preserve">RIC-15866</t>
  </si>
  <si>
    <t xml:space="preserve">Lama di taglio tipo B 32 mm</t>
  </si>
  <si>
    <t xml:space="preserve">S4-D01</t>
  </si>
  <si>
    <t xml:space="preserve">RIC-15873</t>
  </si>
  <si>
    <t xml:space="preserve">Rullo trasportatore tipo A 74 mm</t>
  </si>
  <si>
    <t xml:space="preserve">S6-F23</t>
  </si>
  <si>
    <t xml:space="preserve">RIC-15880</t>
  </si>
  <si>
    <t xml:space="preserve">Cuscinetto rinforzato 19 mm</t>
  </si>
  <si>
    <t xml:space="preserve">S2-F03</t>
  </si>
  <si>
    <t xml:space="preserve">RIC-15887</t>
  </si>
  <si>
    <t xml:space="preserve">Cinghia dentata inox 71 mm</t>
  </si>
  <si>
    <t xml:space="preserve">S2-C26</t>
  </si>
  <si>
    <t xml:space="preserve">RIC-15894</t>
  </si>
  <si>
    <t xml:space="preserve">Sensore induttivo tipo B 67 mm</t>
  </si>
  <si>
    <t xml:space="preserve">RIC-15901</t>
  </si>
  <si>
    <t xml:space="preserve">Elettrovalvola inox 50 mm</t>
  </si>
  <si>
    <t xml:space="preserve">RIC-15908</t>
  </si>
  <si>
    <t xml:space="preserve">RIC-15915</t>
  </si>
  <si>
    <t xml:space="preserve">Motoriduttore tipo A 48 mm</t>
  </si>
  <si>
    <t xml:space="preserve">S2-F25</t>
  </si>
  <si>
    <t xml:space="preserve">RIC-15922</t>
  </si>
  <si>
    <t xml:space="preserve">Fotocellula tipo A 28 mm</t>
  </si>
  <si>
    <t xml:space="preserve">RIC-15929</t>
  </si>
  <si>
    <t xml:space="preserve">Encoder tipo A 46 mm</t>
  </si>
  <si>
    <t xml:space="preserve">RIC-15936</t>
  </si>
  <si>
    <t xml:space="preserve">Lama di taglio rinforzato 30 mm</t>
  </si>
  <si>
    <t xml:space="preserve">S7-B08</t>
  </si>
  <si>
    <t xml:space="preserve">RIC-15943</t>
  </si>
  <si>
    <t xml:space="preserve">Rullo trasportatore inox 53 mm</t>
  </si>
  <si>
    <t xml:space="preserve">RIC-15950</t>
  </si>
  <si>
    <t xml:space="preserve">Cuscinetto tipo A 21 mm</t>
  </si>
  <si>
    <t xml:space="preserve">S5-F29</t>
  </si>
  <si>
    <t xml:space="preserve">RIC-15957</t>
  </si>
  <si>
    <t xml:space="preserve">Cinghia dentata inox 38 mm</t>
  </si>
  <si>
    <t xml:space="preserve">RIC-15964</t>
  </si>
  <si>
    <t xml:space="preserve">Sensore induttivo inox 35 mm</t>
  </si>
  <si>
    <t xml:space="preserve">S3-F07</t>
  </si>
  <si>
    <t xml:space="preserve">RIC-15971</t>
  </si>
  <si>
    <t xml:space="preserve">Elettrovalvola tipo A 75 mm</t>
  </si>
  <si>
    <t xml:space="preserve">RIC-15978</t>
  </si>
  <si>
    <t xml:space="preserve">Guarnizione inox 29 mm</t>
  </si>
  <si>
    <t xml:space="preserve">RIC-15985</t>
  </si>
  <si>
    <t xml:space="preserve">Motoriduttore tipo B 94 mm</t>
  </si>
  <si>
    <t xml:space="preserve">S7-A27</t>
  </si>
  <si>
    <t xml:space="preserve">RIC-15992</t>
  </si>
  <si>
    <t xml:space="preserve">RIC-15999</t>
  </si>
  <si>
    <t xml:space="preserve">Encoder rinforzato 39 mm</t>
  </si>
  <si>
    <t xml:space="preserve">S6-C12</t>
  </si>
  <si>
    <t xml:space="preserve">RIC-16006</t>
  </si>
  <si>
    <t xml:space="preserve">Lama di taglio rinforzato 60 mm</t>
  </si>
  <si>
    <t xml:space="preserve">S7-C04</t>
  </si>
  <si>
    <t xml:space="preserve">RIC-16013</t>
  </si>
  <si>
    <t xml:space="preserve">Rullo trasportatore inox 91 mm</t>
  </si>
  <si>
    <t xml:space="preserve">S4-F26</t>
  </si>
  <si>
    <t xml:space="preserve">RIC-16020</t>
  </si>
  <si>
    <t xml:space="preserve">RIC-16027</t>
  </si>
  <si>
    <t xml:space="preserve">S3-B18</t>
  </si>
  <si>
    <t xml:space="preserve">RIC-16034</t>
  </si>
  <si>
    <t xml:space="preserve">Sensore induttivo tipo A 54 mm</t>
  </si>
  <si>
    <t xml:space="preserve">S3-C29</t>
  </si>
  <si>
    <t xml:space="preserve">RIC-16041</t>
  </si>
  <si>
    <t xml:space="preserve">Elettrovalvola tipo A 80 mm</t>
  </si>
  <si>
    <t xml:space="preserve">S8-C16</t>
  </si>
  <si>
    <t xml:space="preserve">RIC-16048</t>
  </si>
  <si>
    <t xml:space="preserve">Guarnizione tipo B 53 mm</t>
  </si>
  <si>
    <t xml:space="preserve">RIC-16055</t>
  </si>
  <si>
    <t xml:space="preserve">Motoriduttore rinforzato 13 mm</t>
  </si>
  <si>
    <t xml:space="preserve">S1-B12</t>
  </si>
  <si>
    <t xml:space="preserve">RIC-16062</t>
  </si>
  <si>
    <t xml:space="preserve">Fotocellula tipo A 73 mm</t>
  </si>
  <si>
    <t xml:space="preserve">RIC-16069</t>
  </si>
  <si>
    <t xml:space="preserve">Encoder rinforzato 71 mm</t>
  </si>
  <si>
    <t xml:space="preserve">RIC-16076</t>
  </si>
  <si>
    <t xml:space="preserve">Lama di taglio inox 50 mm</t>
  </si>
  <si>
    <t xml:space="preserve">S6-F27</t>
  </si>
  <si>
    <t xml:space="preserve">RIC-16083</t>
  </si>
  <si>
    <t xml:space="preserve">Rullo trasportatore tipo A 86 mm</t>
  </si>
  <si>
    <t xml:space="preserve">RIC-16090</t>
  </si>
  <si>
    <t xml:space="preserve">Cuscinetto tipo B 36 mm</t>
  </si>
  <si>
    <t xml:space="preserve">S4-C18</t>
  </si>
  <si>
    <t xml:space="preserve">RIC-16097</t>
  </si>
  <si>
    <t xml:space="preserve">Cinghia dentata tipo A 69 mm</t>
  </si>
  <si>
    <t xml:space="preserve">S7-A23</t>
  </si>
  <si>
    <t xml:space="preserve">RIC-16104</t>
  </si>
  <si>
    <t xml:space="preserve">Sensore induttivo tipo A 33 mm</t>
  </si>
  <si>
    <t xml:space="preserve">S5-E26</t>
  </si>
  <si>
    <t xml:space="preserve">RIC-16111</t>
  </si>
  <si>
    <t xml:space="preserve">Elettrovalvola tipo A 38 mm</t>
  </si>
  <si>
    <t xml:space="preserve">RIC-16118</t>
  </si>
  <si>
    <t xml:space="preserve">S2-D07</t>
  </si>
  <si>
    <t xml:space="preserve">RIC-16125</t>
  </si>
  <si>
    <t xml:space="preserve">Motoriduttore rinforzato 75 mm</t>
  </si>
  <si>
    <t xml:space="preserve">S3-D18</t>
  </si>
  <si>
    <t xml:space="preserve">RIC-16132</t>
  </si>
  <si>
    <t xml:space="preserve">Fotocellula tipo A 95 mm</t>
  </si>
  <si>
    <t xml:space="preserve">S3-E13</t>
  </si>
  <si>
    <t xml:space="preserve">RIC-16139</t>
  </si>
  <si>
    <t xml:space="preserve">Encoder tipo B 33 mm</t>
  </si>
  <si>
    <t xml:space="preserve">RIC-16146</t>
  </si>
  <si>
    <t xml:space="preserve">Lama di taglio rinforzato 16 mm</t>
  </si>
  <si>
    <t xml:space="preserve">RIC-16153</t>
  </si>
  <si>
    <t xml:space="preserve">S8-B18</t>
  </si>
  <si>
    <t xml:space="preserve">RIC-16160</t>
  </si>
  <si>
    <t xml:space="preserve">S8-A14</t>
  </si>
  <si>
    <t xml:space="preserve">RIC-16167</t>
  </si>
  <si>
    <t xml:space="preserve">Cinghia dentata rinforzato 87 mm</t>
  </si>
  <si>
    <t xml:space="preserve">S5-B14</t>
  </si>
  <si>
    <t xml:space="preserve">RIC-16174</t>
  </si>
  <si>
    <t xml:space="preserve">Sensore induttivo inox 16 mm</t>
  </si>
  <si>
    <t xml:space="preserve">RIC-16181</t>
  </si>
  <si>
    <t xml:space="preserve">Elettrovalvola tipo B 78 mm</t>
  </si>
  <si>
    <t xml:space="preserve">S5-B17</t>
  </si>
  <si>
    <t xml:space="preserve">RIC-16188</t>
  </si>
  <si>
    <t xml:space="preserve">Guarnizione tipo B 87 mm</t>
  </si>
  <si>
    <t xml:space="preserve">RIC-16195</t>
  </si>
  <si>
    <t xml:space="preserve">Motoriduttore inox 86 mm</t>
  </si>
  <si>
    <t xml:space="preserve">RIC-16202</t>
  </si>
  <si>
    <t xml:space="preserve">Fotocellula tipo A 72 mm</t>
  </si>
  <si>
    <t xml:space="preserve">RIC-16209</t>
  </si>
  <si>
    <t xml:space="preserve">S6-D06</t>
  </si>
  <si>
    <t xml:space="preserve">RIC-16216</t>
  </si>
  <si>
    <t xml:space="preserve">Lama di taglio rinforzato 62 mm</t>
  </si>
  <si>
    <t xml:space="preserve">S4-B08</t>
  </si>
  <si>
    <t xml:space="preserve">RIC-16223</t>
  </si>
  <si>
    <t xml:space="preserve">S7-C10</t>
  </si>
  <si>
    <t xml:space="preserve">RIC-16230</t>
  </si>
  <si>
    <t xml:space="preserve">Cuscinetto inox 20 mm</t>
  </si>
  <si>
    <t xml:space="preserve">RIC-16237</t>
  </si>
  <si>
    <t xml:space="preserve">Cinghia dentata rinforzato 33 mm</t>
  </si>
  <si>
    <t xml:space="preserve">S7-D27</t>
  </si>
  <si>
    <t xml:space="preserve">RIC-16244</t>
  </si>
  <si>
    <t xml:space="preserve">Sensore induttivo inox 70 mm</t>
  </si>
  <si>
    <t xml:space="preserve">RIC-16251</t>
  </si>
  <si>
    <t xml:space="preserve">Elettrovalvola tipo B 74 mm</t>
  </si>
  <si>
    <t xml:space="preserve">S3-B03</t>
  </si>
  <si>
    <t xml:space="preserve">RIC-16258</t>
  </si>
  <si>
    <t xml:space="preserve">S2-C24</t>
  </si>
  <si>
    <t xml:space="preserve">RIC-16265</t>
  </si>
  <si>
    <t xml:space="preserve">Motoriduttore rinforzato 98 mm</t>
  </si>
  <si>
    <t xml:space="preserve">S7-F05</t>
  </si>
  <si>
    <t xml:space="preserve">RIC-16272</t>
  </si>
  <si>
    <t xml:space="preserve">Fotocellula tipo A 15 mm</t>
  </si>
  <si>
    <t xml:space="preserve">S8-C17</t>
  </si>
  <si>
    <t xml:space="preserve">RIC-16279</t>
  </si>
  <si>
    <t xml:space="preserve">Encoder inox 89 mm</t>
  </si>
  <si>
    <t xml:space="preserve">RIC-16286</t>
  </si>
  <si>
    <t xml:space="preserve">Lama di taglio tipo B 90 mm</t>
  </si>
  <si>
    <t xml:space="preserve">S6-F28</t>
  </si>
  <si>
    <t xml:space="preserve">RIC-16293</t>
  </si>
  <si>
    <t xml:space="preserve">Rullo trasportatore tipo B 53 mm</t>
  </si>
  <si>
    <t xml:space="preserve">S3-E18</t>
  </si>
  <si>
    <t xml:space="preserve">RIC-16300</t>
  </si>
  <si>
    <t xml:space="preserve">Cuscinetto rinforzato 24 mm</t>
  </si>
  <si>
    <t xml:space="preserve">S3-A20</t>
  </si>
  <si>
    <t xml:space="preserve">RIC-16307</t>
  </si>
  <si>
    <t xml:space="preserve">Cinghia dentata inox 73 mm</t>
  </si>
  <si>
    <t xml:space="preserve">S5-C17</t>
  </si>
  <si>
    <t xml:space="preserve">RIC-16314</t>
  </si>
  <si>
    <t xml:space="preserve">S6-F16</t>
  </si>
  <si>
    <t xml:space="preserve">RIC-16321</t>
  </si>
  <si>
    <t xml:space="preserve">Elettrovalvola rinforzato 59 mm</t>
  </si>
  <si>
    <t xml:space="preserve">RIC-16328</t>
  </si>
  <si>
    <t xml:space="preserve">Guarnizione tipo A 56 mm</t>
  </si>
  <si>
    <t xml:space="preserve">S1-C29</t>
  </si>
  <si>
    <t xml:space="preserve">RIC-16335</t>
  </si>
  <si>
    <t xml:space="preserve">RIC-16342</t>
  </si>
  <si>
    <t xml:space="preserve">Fotocellula tipo A 27 mm</t>
  </si>
  <si>
    <t xml:space="preserve">S3-C08</t>
  </si>
  <si>
    <t xml:space="preserve">RIC-16349</t>
  </si>
  <si>
    <t xml:space="preserve">Encoder inox 43 mm</t>
  </si>
  <si>
    <t xml:space="preserve">RIC-16356</t>
  </si>
  <si>
    <t xml:space="preserve">Lama di taglio tipo B 80 mm</t>
  </si>
  <si>
    <t xml:space="preserve">S2-B14</t>
  </si>
  <si>
    <t xml:space="preserve">RIC-16363</t>
  </si>
  <si>
    <t xml:space="preserve">Rullo trasportatore tipo A 73 mm</t>
  </si>
  <si>
    <t xml:space="preserve">S7-D03</t>
  </si>
  <si>
    <t xml:space="preserve">RIC-16370</t>
  </si>
  <si>
    <t xml:space="preserve">Cuscinetto tipo B 48 mm</t>
  </si>
  <si>
    <t xml:space="preserve">RIC-16377</t>
  </si>
  <si>
    <t xml:space="preserve">RIC-16384</t>
  </si>
  <si>
    <t xml:space="preserve">Sensore induttivo tipo A 69 mm</t>
  </si>
  <si>
    <t xml:space="preserve">S3-A06</t>
  </si>
  <si>
    <t xml:space="preserve">RIC-16391</t>
  </si>
  <si>
    <t xml:space="preserve">Elettrovalvola rinforzato 96 mm</t>
  </si>
  <si>
    <t xml:space="preserve">S4-C04</t>
  </si>
  <si>
    <t xml:space="preserve">RIC-16398</t>
  </si>
  <si>
    <t xml:space="preserve">Guarnizione rinforzato 60 mm</t>
  </si>
  <si>
    <t xml:space="preserve">RIC-16405</t>
  </si>
  <si>
    <t xml:space="preserve">S3-B06</t>
  </si>
  <si>
    <t xml:space="preserve">RIC-16412</t>
  </si>
  <si>
    <t xml:space="preserve">Fotocellula rinforzato 90 mm</t>
  </si>
  <si>
    <t xml:space="preserve">RIC-16419</t>
  </si>
  <si>
    <t xml:space="preserve">Encoder inox 80 mm</t>
  </si>
  <si>
    <t xml:space="preserve">RIC-16426</t>
  </si>
  <si>
    <t xml:space="preserve">Lama di taglio rinforzato 94 mm</t>
  </si>
  <si>
    <t xml:space="preserve">S7-E05</t>
  </si>
  <si>
    <t xml:space="preserve">RIC-16433</t>
  </si>
  <si>
    <t xml:space="preserve">Rullo trasportatore tipo B 73 mm</t>
  </si>
  <si>
    <t xml:space="preserve">S3-F13</t>
  </si>
  <si>
    <t xml:space="preserve">RIC-16440</t>
  </si>
  <si>
    <t xml:space="preserve">Cuscinetto tipo A 56 mm</t>
  </si>
  <si>
    <t xml:space="preserve">RIC-16447</t>
  </si>
  <si>
    <t xml:space="preserve">S7-C16</t>
  </si>
  <si>
    <t xml:space="preserve">RIC-16454</t>
  </si>
  <si>
    <t xml:space="preserve">RIC-16461</t>
  </si>
  <si>
    <t xml:space="preserve">Elettrovalvola tipo A 84 mm</t>
  </si>
  <si>
    <t xml:space="preserve">S6-C21</t>
  </si>
  <si>
    <t xml:space="preserve">RIC-16468</t>
  </si>
  <si>
    <t xml:space="preserve">Guarnizione rinforzato 88 mm</t>
  </si>
  <si>
    <t xml:space="preserve">S6-B19</t>
  </si>
  <si>
    <t xml:space="preserve">RIC-16475</t>
  </si>
  <si>
    <t xml:space="preserve">Motoriduttore inox 45 mm</t>
  </si>
  <si>
    <t xml:space="preserve">RIC-16482</t>
  </si>
  <si>
    <t xml:space="preserve">Fotocellula tipo B 64 mm</t>
  </si>
  <si>
    <t xml:space="preserve">RIC-16489</t>
  </si>
  <si>
    <t xml:space="preserve">Encoder inox 10 mm</t>
  </si>
  <si>
    <t xml:space="preserve">S2-E25</t>
  </si>
  <si>
    <t xml:space="preserve">RIC-16496</t>
  </si>
  <si>
    <t xml:space="preserve">Lama di taglio inox 45 mm</t>
  </si>
  <si>
    <t xml:space="preserve">S2-E28</t>
  </si>
  <si>
    <t xml:space="preserve">RIC-16503</t>
  </si>
  <si>
    <t xml:space="preserve">Rullo trasportatore rinforzato 20 mm</t>
  </si>
  <si>
    <t xml:space="preserve">RIC-16510</t>
  </si>
  <si>
    <t xml:space="preserve">S4-A21</t>
  </si>
  <si>
    <t xml:space="preserve">RIC-16517</t>
  </si>
  <si>
    <t xml:space="preserve">Cinghia dentata rinforzato 36 mm</t>
  </si>
  <si>
    <t xml:space="preserve">S7-E23</t>
  </si>
  <si>
    <t xml:space="preserve">RIC-16524</t>
  </si>
  <si>
    <t xml:space="preserve">S6-D22</t>
  </si>
  <si>
    <t xml:space="preserve">RIC-16531</t>
  </si>
  <si>
    <t xml:space="preserve">Elettrovalvola tipo A 15 mm</t>
  </si>
  <si>
    <t xml:space="preserve">S3-F10</t>
  </si>
  <si>
    <t xml:space="preserve">RIC-16538</t>
  </si>
  <si>
    <t xml:space="preserve">Guarnizione tipo B 55 mm</t>
  </si>
  <si>
    <t xml:space="preserve">RIC-16545</t>
  </si>
  <si>
    <t xml:space="preserve">S8-A03</t>
  </si>
  <si>
    <t xml:space="preserve">RIC-16552</t>
  </si>
  <si>
    <t xml:space="preserve">Fotocellula tipo B 69 mm</t>
  </si>
  <si>
    <t xml:space="preserve">RIC-16559</t>
  </si>
  <si>
    <t xml:space="preserve">Encoder rinforzato 87 mm</t>
  </si>
  <si>
    <t xml:space="preserve">S3-B21</t>
  </si>
  <si>
    <t xml:space="preserve">RIC-16566</t>
  </si>
  <si>
    <t xml:space="preserve">Lama di taglio tipo B 74 mm</t>
  </si>
  <si>
    <t xml:space="preserve">S5-C06</t>
  </si>
  <si>
    <t xml:space="preserve">RIC-16573</t>
  </si>
  <si>
    <t xml:space="preserve">Rullo trasportatore inox 38 mm</t>
  </si>
  <si>
    <t xml:space="preserve">RIC-16580</t>
  </si>
  <si>
    <t xml:space="preserve">S7-E20</t>
  </si>
  <si>
    <t xml:space="preserve">RIC-16587</t>
  </si>
  <si>
    <t xml:space="preserve">Cinghia dentata tipo B 22 mm</t>
  </si>
  <si>
    <t xml:space="preserve">RIC-16594</t>
  </si>
  <si>
    <t xml:space="preserve">Sensore induttivo inox 39 mm</t>
  </si>
  <si>
    <t xml:space="preserve">RIC-16601</t>
  </si>
  <si>
    <t xml:space="preserve">Elettrovalvola rinforzato 30 mm</t>
  </si>
  <si>
    <t xml:space="preserve">RIC-16608</t>
  </si>
  <si>
    <t xml:space="preserve">RIC-16615</t>
  </si>
  <si>
    <t xml:space="preserve">Motoriduttore tipo A 80 mm</t>
  </si>
  <si>
    <t xml:space="preserve">S8-E11</t>
  </si>
  <si>
    <t xml:space="preserve">RIC-16622</t>
  </si>
  <si>
    <t xml:space="preserve">S7-A05</t>
  </si>
  <si>
    <t xml:space="preserve">RIC-16629</t>
  </si>
  <si>
    <t xml:space="preserve">Encoder rinforzato 52 mm</t>
  </si>
  <si>
    <t xml:space="preserve">RIC-16636</t>
  </si>
  <si>
    <t xml:space="preserve">Lama di taglio tipo A 50 mm</t>
  </si>
  <si>
    <t xml:space="preserve">S4-D04</t>
  </si>
  <si>
    <t xml:space="preserve">RIC-16643</t>
  </si>
  <si>
    <t xml:space="preserve">Rullo trasportatore rinforzato 82 mm</t>
  </si>
  <si>
    <t xml:space="preserve">RIC-16650</t>
  </si>
  <si>
    <t xml:space="preserve">Cuscinetto tipo B 56 mm</t>
  </si>
  <si>
    <t xml:space="preserve">S4-E07</t>
  </si>
  <si>
    <t xml:space="preserve">RIC-16657</t>
  </si>
  <si>
    <t xml:space="preserve">Cinghia dentata tipo B 85 mm</t>
  </si>
  <si>
    <t xml:space="preserve">RIC-16664</t>
  </si>
  <si>
    <t xml:space="preserve">Sensore induttivo tipo A 36 mm</t>
  </si>
  <si>
    <t xml:space="preserve">RIC-16671</t>
  </si>
  <si>
    <t xml:space="preserve">RIC-16678</t>
  </si>
  <si>
    <t xml:space="preserve">Guarnizione rinforzato 50 mm</t>
  </si>
  <si>
    <t xml:space="preserve">S1-E14</t>
  </si>
  <si>
    <t xml:space="preserve">RIC-16685</t>
  </si>
  <si>
    <t xml:space="preserve">Motoriduttore tipo B 11 mm</t>
  </si>
  <si>
    <t xml:space="preserve">S4-B29</t>
  </si>
  <si>
    <t xml:space="preserve">RIC-16692</t>
  </si>
  <si>
    <t xml:space="preserve">S2-C19</t>
  </si>
  <si>
    <t xml:space="preserve">RIC-16699</t>
  </si>
  <si>
    <t xml:space="preserve">RIC-16706</t>
  </si>
  <si>
    <t xml:space="preserve">Lama di taglio inox 24 mm</t>
  </si>
  <si>
    <t xml:space="preserve">S5-E05</t>
  </si>
  <si>
    <t xml:space="preserve">RIC-16713</t>
  </si>
  <si>
    <t xml:space="preserve">Rullo trasportatore tipo A 13 mm</t>
  </si>
  <si>
    <t xml:space="preserve">S1-D20</t>
  </si>
  <si>
    <t xml:space="preserve">RIC-16720</t>
  </si>
  <si>
    <t xml:space="preserve">Cuscinetto tipo B 57 mm</t>
  </si>
  <si>
    <t xml:space="preserve">RIC-16727</t>
  </si>
  <si>
    <t xml:space="preserve">Cinghia dentata rinforzato 79 mm</t>
  </si>
  <si>
    <t xml:space="preserve">RIC-16734</t>
  </si>
  <si>
    <t xml:space="preserve">Sensore induttivo tipo A 85 mm</t>
  </si>
  <si>
    <t xml:space="preserve">RIC-16741</t>
  </si>
  <si>
    <t xml:space="preserve">S8-D15</t>
  </si>
  <si>
    <t xml:space="preserve">RIC-16748</t>
  </si>
  <si>
    <t xml:space="preserve">Guarnizione tipo A 40 mm</t>
  </si>
  <si>
    <t xml:space="preserve">RIC-16755</t>
  </si>
  <si>
    <t xml:space="preserve">Motoriduttore tipo B 55 mm</t>
  </si>
  <si>
    <t xml:space="preserve">RIC-16762</t>
  </si>
  <si>
    <t xml:space="preserve">RIC-16769</t>
  </si>
  <si>
    <t xml:space="preserve">RIC-16776</t>
  </si>
  <si>
    <t xml:space="preserve">RIC-16783</t>
  </si>
  <si>
    <t xml:space="preserve">Rullo trasportatore rinforzato 93 mm</t>
  </si>
  <si>
    <t xml:space="preserve">S2-D25</t>
  </si>
  <si>
    <t xml:space="preserve">RIC-16790</t>
  </si>
  <si>
    <t xml:space="preserve">Cuscinetto inox 41 mm</t>
  </si>
  <si>
    <t xml:space="preserve">S3-B10</t>
  </si>
  <si>
    <t xml:space="preserve">RIC-16797</t>
  </si>
  <si>
    <t xml:space="preserve">Cinghia dentata tipo A 75 mm</t>
  </si>
  <si>
    <t xml:space="preserve">S7-B19</t>
  </si>
  <si>
    <t xml:space="preserve">RIC-16804</t>
  </si>
  <si>
    <t xml:space="preserve">Sensore induttivo tipo A 92 mm</t>
  </si>
  <si>
    <t xml:space="preserve">RIC-16811</t>
  </si>
  <si>
    <t xml:space="preserve">Elettrovalvola tipo A 52 mm</t>
  </si>
  <si>
    <t xml:space="preserve">RIC-16818</t>
  </si>
  <si>
    <t xml:space="preserve">Guarnizione inox 31 mm</t>
  </si>
  <si>
    <t xml:space="preserve">RIC-16825</t>
  </si>
  <si>
    <t xml:space="preserve">Motoriduttore inox 21 mm</t>
  </si>
  <si>
    <t xml:space="preserve">RIC-16832</t>
  </si>
  <si>
    <t xml:space="preserve">Fotocellula inox 22 mm</t>
  </si>
  <si>
    <t xml:space="preserve">RIC-16839</t>
  </si>
  <si>
    <t xml:space="preserve">RIC-16846</t>
  </si>
  <si>
    <t xml:space="preserve">Lama di taglio tipo B 14 mm</t>
  </si>
  <si>
    <t xml:space="preserve">RIC-16853</t>
  </si>
  <si>
    <t xml:space="preserve">Rullo trasportatore tipo A 29 mm</t>
  </si>
  <si>
    <t xml:space="preserve">S2-A02</t>
  </si>
  <si>
    <t xml:space="preserve">RIC-16860</t>
  </si>
  <si>
    <t xml:space="preserve">Cuscinetto rinforzato 90 mm</t>
  </si>
  <si>
    <t xml:space="preserve">RIC-16867</t>
  </si>
  <si>
    <t xml:space="preserve">Cinghia dentata rinforzato 34 mm</t>
  </si>
  <si>
    <t xml:space="preserve">S2-F16</t>
  </si>
  <si>
    <t xml:space="preserve">RIC-16874</t>
  </si>
  <si>
    <t xml:space="preserve">Sensore induttivo rinforzato 18 mm</t>
  </si>
  <si>
    <t xml:space="preserve">S8-B05</t>
  </si>
  <si>
    <t xml:space="preserve">RIC-16881</t>
  </si>
  <si>
    <t xml:space="preserve">Elettrovalvola inox 26 mm</t>
  </si>
  <si>
    <t xml:space="preserve">S1-F06</t>
  </si>
  <si>
    <t xml:space="preserve">RIC-16888</t>
  </si>
  <si>
    <t xml:space="preserve">Guarnizione tipo A 24 mm</t>
  </si>
  <si>
    <t xml:space="preserve">RIC-16895</t>
  </si>
  <si>
    <t xml:space="preserve">Motoriduttore rinforzato 54 mm</t>
  </si>
  <si>
    <t xml:space="preserve">S3-F27</t>
  </si>
  <si>
    <t xml:space="preserve">RIC-16902</t>
  </si>
  <si>
    <t xml:space="preserve">S8-D06</t>
  </si>
  <si>
    <t xml:space="preserve">RIC-16909</t>
  </si>
  <si>
    <t xml:space="preserve">Encoder tipo A 79 mm</t>
  </si>
  <si>
    <t xml:space="preserve">S7-B21</t>
  </si>
  <si>
    <t xml:space="preserve">RIC-16916</t>
  </si>
  <si>
    <t xml:space="preserve">Lama di taglio rinforzato 24 mm</t>
  </si>
  <si>
    <t xml:space="preserve">S2-D03</t>
  </si>
  <si>
    <t xml:space="preserve">RIC-16923</t>
  </si>
  <si>
    <t xml:space="preserve">S1-C03</t>
  </si>
  <si>
    <t xml:space="preserve">RIC-16930</t>
  </si>
  <si>
    <t xml:space="preserve">Cuscinetto rinforzato 81 mm</t>
  </si>
  <si>
    <t xml:space="preserve">S8-F26</t>
  </si>
  <si>
    <t xml:space="preserve">RIC-16937</t>
  </si>
  <si>
    <t xml:space="preserve">Cinghia dentata tipo B 49 mm</t>
  </si>
  <si>
    <t xml:space="preserve">S4-D24</t>
  </si>
  <si>
    <t xml:space="preserve">RIC-16944</t>
  </si>
  <si>
    <t xml:space="preserve">Sensore induttivo rinforzato 55 mm</t>
  </si>
  <si>
    <t xml:space="preserve">S4-E09</t>
  </si>
  <si>
    <t xml:space="preserve">RIC-16951</t>
  </si>
  <si>
    <t xml:space="preserve">S1-D14</t>
  </si>
  <si>
    <t xml:space="preserve">RIC-16958</t>
  </si>
  <si>
    <t xml:space="preserve">Guarnizione tipo B 15 mm</t>
  </si>
  <si>
    <t xml:space="preserve">S5-C04</t>
  </si>
  <si>
    <t xml:space="preserve">RIC-16965</t>
  </si>
  <si>
    <t xml:space="preserve">S8-B23</t>
  </si>
  <si>
    <t xml:space="preserve">RIC-16972</t>
  </si>
  <si>
    <t xml:space="preserve">RIC-16979</t>
  </si>
  <si>
    <t xml:space="preserve">RIC-16986</t>
  </si>
  <si>
    <t xml:space="preserve">RIC-16993</t>
  </si>
  <si>
    <t xml:space="preserve">RIC-17000</t>
  </si>
  <si>
    <t xml:space="preserve">Cuscinetto rinforzato 98 mm</t>
  </si>
  <si>
    <t xml:space="preserve">S1-C18</t>
  </si>
  <si>
    <t xml:space="preserve">RIC-17007</t>
  </si>
  <si>
    <t xml:space="preserve">RIC-17014</t>
  </si>
  <si>
    <t xml:space="preserve">Sensore induttivo tipo B 53 mm</t>
  </si>
  <si>
    <t xml:space="preserve">RIC-17021</t>
  </si>
  <si>
    <t xml:space="preserve">Elettrovalvola inox 23 mm</t>
  </si>
  <si>
    <t xml:space="preserve">RIC-17028</t>
  </si>
  <si>
    <t xml:space="preserve">Guarnizione tipo A 26 mm</t>
  </si>
  <si>
    <t xml:space="preserve">RIC-17035</t>
  </si>
  <si>
    <t xml:space="preserve">Motoriduttore inox 29 mm</t>
  </si>
  <si>
    <t xml:space="preserve">RIC-17042</t>
  </si>
  <si>
    <t xml:space="preserve">S1-F28</t>
  </si>
  <si>
    <t xml:space="preserve">RIC-17049</t>
  </si>
  <si>
    <t xml:space="preserve">Encoder tipo A 32 mm</t>
  </si>
  <si>
    <t xml:space="preserve">RIC-17056</t>
  </si>
  <si>
    <t xml:space="preserve">Lama di taglio rinforzato 75 mm</t>
  </si>
  <si>
    <t xml:space="preserve">S2-A29</t>
  </si>
  <si>
    <t xml:space="preserve">RIC-17063</t>
  </si>
  <si>
    <t xml:space="preserve">Rullo trasportatore inox 86 mm</t>
  </si>
  <si>
    <t xml:space="preserve">S5-A13</t>
  </si>
  <si>
    <t xml:space="preserve">RIC-17070</t>
  </si>
  <si>
    <t xml:space="preserve">Cuscinetto inox 11 mm</t>
  </si>
  <si>
    <t xml:space="preserve">RIC-17077</t>
  </si>
  <si>
    <t xml:space="preserve">S1-E23</t>
  </si>
  <si>
    <t xml:space="preserve">RIC-17084</t>
  </si>
  <si>
    <t xml:space="preserve">RIC-17091</t>
  </si>
  <si>
    <t xml:space="preserve">Elettrovalvola tipo B 70 mm</t>
  </si>
  <si>
    <t xml:space="preserve">S6-A02</t>
  </si>
  <si>
    <t xml:space="preserve">RIC-17098</t>
  </si>
  <si>
    <t xml:space="preserve">Guarnizione tipo A 75 mm</t>
  </si>
  <si>
    <t xml:space="preserve">S8-A08</t>
  </si>
  <si>
    <t xml:space="preserve">RIC-17105</t>
  </si>
  <si>
    <t xml:space="preserve">Motoriduttore rinforzato 63 mm</t>
  </si>
  <si>
    <t xml:space="preserve">RIC-17112</t>
  </si>
  <si>
    <t xml:space="preserve">Fotocellula rinforzato 61 mm</t>
  </si>
  <si>
    <t xml:space="preserve">RIC-17119</t>
  </si>
  <si>
    <t xml:space="preserve">S4-D21</t>
  </si>
  <si>
    <t xml:space="preserve">RIC-17126</t>
  </si>
  <si>
    <t xml:space="preserve">Lama di taglio rinforzato 44 mm</t>
  </si>
  <si>
    <t xml:space="preserve">S8-F16</t>
  </si>
  <si>
    <t xml:space="preserve">RIC-17133</t>
  </si>
  <si>
    <t xml:space="preserve">Rullo trasportatore tipo A 94 mm</t>
  </si>
  <si>
    <t xml:space="preserve">S7-D08</t>
  </si>
  <si>
    <t xml:space="preserve">RIC-17140</t>
  </si>
  <si>
    <t xml:space="preserve">Cuscinetto tipo B 86 mm</t>
  </si>
  <si>
    <t xml:space="preserve">S8-E13</t>
  </si>
  <si>
    <t xml:space="preserve">RIC-17147</t>
  </si>
  <si>
    <t xml:space="preserve">Cinghia dentata rinforzato 66 mm</t>
  </si>
  <si>
    <t xml:space="preserve">RIC-17154</t>
  </si>
  <si>
    <t xml:space="preserve">Sensore induttivo tipo A 18 mm</t>
  </si>
  <si>
    <t xml:space="preserve">S2-A06</t>
  </si>
  <si>
    <t xml:space="preserve">RIC-17161</t>
  </si>
  <si>
    <t xml:space="preserve">Elettrovalvola inox 62 mm</t>
  </si>
  <si>
    <t xml:space="preserve">RIC-17168</t>
  </si>
  <si>
    <t xml:space="preserve">S2-E17</t>
  </si>
  <si>
    <t xml:space="preserve">RIC-17175</t>
  </si>
  <si>
    <t xml:space="preserve">Motoriduttore rinforzato 47 mm</t>
  </si>
  <si>
    <t xml:space="preserve">RIC-17182</t>
  </si>
  <si>
    <t xml:space="preserve">Fotocellula rinforzato 87 mm</t>
  </si>
  <si>
    <t xml:space="preserve">S5-C25</t>
  </si>
  <si>
    <t xml:space="preserve">RIC-17189</t>
  </si>
  <si>
    <t xml:space="preserve">Encoder rinforzato 24 mm</t>
  </si>
  <si>
    <t xml:space="preserve">S6-F18</t>
  </si>
  <si>
    <t xml:space="preserve">RIC-17196</t>
  </si>
  <si>
    <t xml:space="preserve">Lama di taglio tipo B 52 mm</t>
  </si>
  <si>
    <t xml:space="preserve">RIC-17203</t>
  </si>
  <si>
    <t xml:space="preserve">Rullo trasportatore rinforzato 38 mm</t>
  </si>
  <si>
    <t xml:space="preserve">RIC-17210</t>
  </si>
  <si>
    <t xml:space="preserve">Cuscinetto inox 56 mm</t>
  </si>
  <si>
    <t xml:space="preserve">RIC-17217</t>
  </si>
  <si>
    <t xml:space="preserve">Cinghia dentata tipo B 57 mm</t>
  </si>
  <si>
    <t xml:space="preserve">S1-A13</t>
  </si>
  <si>
    <t xml:space="preserve">RIC-17224</t>
  </si>
  <si>
    <t xml:space="preserve">Sensore induttivo inox 96 mm</t>
  </si>
  <si>
    <t xml:space="preserve">RIC-17231</t>
  </si>
  <si>
    <t xml:space="preserve">Elettrovalvola tipo B 18 mm</t>
  </si>
  <si>
    <t xml:space="preserve">RIC-17238</t>
  </si>
  <si>
    <t xml:space="preserve">S3-F17</t>
  </si>
  <si>
    <t xml:space="preserve">RIC-17245</t>
  </si>
  <si>
    <t xml:space="preserve">Motoriduttore rinforzato 80 mm</t>
  </si>
  <si>
    <t xml:space="preserve">S3-F16</t>
  </si>
  <si>
    <t xml:space="preserve">RIC-17252</t>
  </si>
  <si>
    <t xml:space="preserve">S5-C10</t>
  </si>
  <si>
    <t xml:space="preserve">RIC-17259</t>
  </si>
  <si>
    <t xml:space="preserve">Encoder tipo B 95 mm</t>
  </si>
  <si>
    <t xml:space="preserve">S8-F27</t>
  </si>
  <si>
    <t xml:space="preserve">RIC-17266</t>
  </si>
  <si>
    <t xml:space="preserve">Lama di taglio tipo B 56 mm</t>
  </si>
  <si>
    <t xml:space="preserve">RIC-17273</t>
  </si>
  <si>
    <t xml:space="preserve">Rullo trasportatore tipo A 20 mm</t>
  </si>
  <si>
    <t xml:space="preserve">RIC-17280</t>
  </si>
  <si>
    <t xml:space="preserve">RIC-17287</t>
  </si>
  <si>
    <t xml:space="preserve">Cinghia dentata tipo B 66 mm</t>
  </si>
  <si>
    <t xml:space="preserve">S2-F15</t>
  </si>
  <si>
    <t xml:space="preserve">RIC-17294</t>
  </si>
  <si>
    <t xml:space="preserve">S6-F11</t>
  </si>
  <si>
    <t xml:space="preserve">RIC-17301</t>
  </si>
  <si>
    <t xml:space="preserve">Elettrovalvola tipo B 53 mm</t>
  </si>
  <si>
    <t xml:space="preserve">S6-A03</t>
  </si>
  <si>
    <t xml:space="preserve">RIC-17308</t>
  </si>
  <si>
    <t xml:space="preserve">Guarnizione tipo A 16 mm</t>
  </si>
  <si>
    <t xml:space="preserve">RIC-17315</t>
  </si>
  <si>
    <t xml:space="preserve">Motoriduttore rinforzato 21 mm</t>
  </si>
  <si>
    <t xml:space="preserve">S4-D20</t>
  </si>
  <si>
    <t xml:space="preserve">RIC-17322</t>
  </si>
  <si>
    <t xml:space="preserve">Fotocellula tipo A 17 mm</t>
  </si>
  <si>
    <t xml:space="preserve">S5-B10</t>
  </si>
  <si>
    <t xml:space="preserve">RIC-17329</t>
  </si>
  <si>
    <t xml:space="preserve">S3-D23</t>
  </si>
  <si>
    <t xml:space="preserve">RIC-17336</t>
  </si>
  <si>
    <t xml:space="preserve">Lama di taglio inox 68 mm</t>
  </si>
  <si>
    <t xml:space="preserve">S4-B09</t>
  </si>
  <si>
    <t xml:space="preserve">RIC-17343</t>
  </si>
  <si>
    <t xml:space="preserve">Rullo trasportatore tipo B 27 mm</t>
  </si>
  <si>
    <t xml:space="preserve">RIC-17350</t>
  </si>
  <si>
    <t xml:space="preserve">S6-D17</t>
  </si>
  <si>
    <t xml:space="preserve">RIC-17357</t>
  </si>
  <si>
    <t xml:space="preserve">Cinghia dentata inox 13 mm</t>
  </si>
  <si>
    <t xml:space="preserve">RIC-17364</t>
  </si>
  <si>
    <t xml:space="preserve">Sensore induttivo inox 94 mm</t>
  </si>
  <si>
    <t xml:space="preserve">S7-B17</t>
  </si>
  <si>
    <t xml:space="preserve">RIC-17371</t>
  </si>
  <si>
    <t xml:space="preserve">Elettrovalvola inox 33 mm</t>
  </si>
  <si>
    <t xml:space="preserve">RIC-17378</t>
  </si>
  <si>
    <t xml:space="preserve">S2-C09</t>
  </si>
  <si>
    <t xml:space="preserve">RIC-17385</t>
  </si>
  <si>
    <t xml:space="preserve">Motoriduttore inox 46 mm</t>
  </si>
  <si>
    <t xml:space="preserve">RIC-17392</t>
  </si>
  <si>
    <t xml:space="preserve">S1-C09</t>
  </si>
  <si>
    <t xml:space="preserve">RIC-17399</t>
  </si>
  <si>
    <t xml:space="preserve">Encoder tipo B 31 mm</t>
  </si>
  <si>
    <t xml:space="preserve">S5-F28</t>
  </si>
  <si>
    <t xml:space="preserve">RIC-17406</t>
  </si>
  <si>
    <t xml:space="preserve">Lama di taglio inox 65 mm</t>
  </si>
  <si>
    <t xml:space="preserve">S7-B28</t>
  </si>
  <si>
    <t xml:space="preserve">RIC-17413</t>
  </si>
  <si>
    <t xml:space="preserve">Rullo trasportatore inox 32 mm</t>
  </si>
  <si>
    <t xml:space="preserve">RIC-17420</t>
  </si>
  <si>
    <t xml:space="preserve">RIC-17427</t>
  </si>
  <si>
    <t xml:space="preserve">S8-E18</t>
  </si>
  <si>
    <t xml:space="preserve">RIC-17434</t>
  </si>
  <si>
    <t xml:space="preserve">Sensore induttivo inox 22 mm</t>
  </si>
  <si>
    <t xml:space="preserve">RIC-17441</t>
  </si>
  <si>
    <t xml:space="preserve">Elettrovalvola tipo A 78 mm</t>
  </si>
  <si>
    <t xml:space="preserve">RIC-17448</t>
  </si>
  <si>
    <t xml:space="preserve">Guarnizione tipo B 83 mm</t>
  </si>
  <si>
    <t xml:space="preserve">RIC-17455</t>
  </si>
  <si>
    <t xml:space="preserve">RIC-17462</t>
  </si>
  <si>
    <t xml:space="preserve">RIC-17469</t>
  </si>
  <si>
    <t xml:space="preserve">S2-C16</t>
  </si>
  <si>
    <t xml:space="preserve">RIC-17476</t>
  </si>
  <si>
    <t xml:space="preserve">Lama di taglio tipo A 48 mm</t>
  </si>
  <si>
    <t xml:space="preserve">RIC-17483</t>
  </si>
  <si>
    <t xml:space="preserve">Rullo trasportatore tipo A 38 mm</t>
  </si>
  <si>
    <t xml:space="preserve">RIC-17490</t>
  </si>
  <si>
    <t xml:space="preserve">Cuscinetto inox 72 mm</t>
  </si>
  <si>
    <t xml:space="preserve">S1-B07</t>
  </si>
  <si>
    <t xml:space="preserve">RIC-17497</t>
  </si>
  <si>
    <t xml:space="preserve">Cinghia dentata rinforzato 59 mm</t>
  </si>
  <si>
    <t xml:space="preserve">RIC-17504</t>
  </si>
  <si>
    <t xml:space="preserve">Sensore induttivo rinforzato 63 mm</t>
  </si>
  <si>
    <t xml:space="preserve">RIC-17511</t>
  </si>
  <si>
    <t xml:space="preserve">Elettrovalvola inox 84 mm</t>
  </si>
  <si>
    <t xml:space="preserve">S8-C06</t>
  </si>
  <si>
    <t xml:space="preserve">RIC-17518</t>
  </si>
  <si>
    <t xml:space="preserve">Guarnizione inox 37 mm</t>
  </si>
  <si>
    <t xml:space="preserve">RIC-17525</t>
  </si>
  <si>
    <t xml:space="preserve">RIC-17532</t>
  </si>
  <si>
    <t xml:space="preserve">Fotocellula tipo A 11 mm</t>
  </si>
  <si>
    <t xml:space="preserve">RIC-17539</t>
  </si>
  <si>
    <t xml:space="preserve">RIC-17546</t>
  </si>
  <si>
    <t xml:space="preserve">Lama di taglio tipo B 92 mm</t>
  </si>
  <si>
    <t xml:space="preserve">S7-F01</t>
  </si>
  <si>
    <t xml:space="preserve">RIC-17553</t>
  </si>
  <si>
    <t xml:space="preserve">Rullo trasportatore tipo A 58 mm</t>
  </si>
  <si>
    <t xml:space="preserve">RIC-17560</t>
  </si>
  <si>
    <t xml:space="preserve">Cuscinetto tipo B 53 mm</t>
  </si>
  <si>
    <t xml:space="preserve">RIC-17567</t>
  </si>
  <si>
    <t xml:space="preserve">Cinghia dentata rinforzato 15 mm</t>
  </si>
  <si>
    <t xml:space="preserve">S5-C26</t>
  </si>
  <si>
    <t xml:space="preserve">RIC-17574</t>
  </si>
  <si>
    <t xml:space="preserve">Sensore induttivo tipo A 21 mm</t>
  </si>
  <si>
    <t xml:space="preserve">RIC-17581</t>
  </si>
  <si>
    <t xml:space="preserve">Elettrovalvola tipo B 88 mm</t>
  </si>
  <si>
    <t xml:space="preserve">S7-F17</t>
  </si>
  <si>
    <t xml:space="preserve">RIC-17588</t>
  </si>
  <si>
    <t xml:space="preserve">Guarnizione tipo A 25 mm</t>
  </si>
  <si>
    <t xml:space="preserve">RIC-17595</t>
  </si>
  <si>
    <t xml:space="preserve">Motoriduttore tipo A 65 mm</t>
  </si>
  <si>
    <t xml:space="preserve">S4-D07</t>
  </si>
  <si>
    <t xml:space="preserve">RIC-17602</t>
  </si>
  <si>
    <t xml:space="preserve">Fotocellula inox 60 mm</t>
  </si>
  <si>
    <t xml:space="preserve">RIC-17609</t>
  </si>
  <si>
    <t xml:space="preserve">Encoder rinforzato 35 mm</t>
  </si>
  <si>
    <t xml:space="preserve">RIC-17616</t>
  </si>
  <si>
    <t xml:space="preserve">Lama di taglio rinforzato 56 mm</t>
  </si>
  <si>
    <t xml:space="preserve">S3-E17</t>
  </si>
  <si>
    <t xml:space="preserve">RIC-17623</t>
  </si>
  <si>
    <t xml:space="preserve">Rullo trasportatore tipo B 44 mm</t>
  </si>
  <si>
    <t xml:space="preserve">S4-A18</t>
  </si>
  <si>
    <t xml:space="preserve">RIC-17630</t>
  </si>
  <si>
    <t xml:space="preserve">Cuscinetto tipo A 14 mm</t>
  </si>
  <si>
    <t xml:space="preserve">RIC-17637</t>
  </si>
  <si>
    <t xml:space="preserve">Cinghia dentata inox 18 mm</t>
  </si>
  <si>
    <t xml:space="preserve">RIC-17644</t>
  </si>
  <si>
    <t xml:space="preserve">Sensore induttivo tipo A 58 mm</t>
  </si>
  <si>
    <t xml:space="preserve">RIC-17651</t>
  </si>
  <si>
    <t xml:space="preserve">Elettrovalvola tipo A 13 mm</t>
  </si>
  <si>
    <t xml:space="preserve">RIC-17658</t>
  </si>
  <si>
    <t xml:space="preserve">Guarnizione tipo A 80 mm</t>
  </si>
  <si>
    <t xml:space="preserve">RIC-17665</t>
  </si>
  <si>
    <t xml:space="preserve">S8-C19</t>
  </si>
  <si>
    <t xml:space="preserve">RIC-17672</t>
  </si>
  <si>
    <t xml:space="preserve">Fotocellula tipo A 82 mm</t>
  </si>
  <si>
    <t xml:space="preserve">RIC-17679</t>
  </si>
  <si>
    <t xml:space="preserve">Encoder tipo A 24 mm</t>
  </si>
  <si>
    <t xml:space="preserve">RIC-17686</t>
  </si>
  <si>
    <t xml:space="preserve">Lama di taglio rinforzato 96 mm</t>
  </si>
  <si>
    <t xml:space="preserve">RIC-17693</t>
  </si>
  <si>
    <t xml:space="preserve">Rullo trasportatore tipo A 46 mm</t>
  </si>
  <si>
    <t xml:space="preserve">RIC-17700</t>
  </si>
  <si>
    <t xml:space="preserve">Cuscinetto rinforzato 91 mm</t>
  </si>
  <si>
    <t xml:space="preserve">RIC-17707</t>
  </si>
  <si>
    <t xml:space="preserve">S6-A11</t>
  </si>
  <si>
    <t xml:space="preserve">RIC-17714</t>
  </si>
  <si>
    <t xml:space="preserve">Sensore induttivo rinforzato 49 mm</t>
  </si>
  <si>
    <t xml:space="preserve">RIC-17721</t>
  </si>
  <si>
    <t xml:space="preserve">Elettrovalvola rinforzato 86 mm</t>
  </si>
  <si>
    <t xml:space="preserve">RIC-17728</t>
  </si>
  <si>
    <t xml:space="preserve">RIC-17735</t>
  </si>
  <si>
    <t xml:space="preserve">Motoriduttore tipo B 56 mm</t>
  </si>
  <si>
    <t xml:space="preserve">RIC-17742</t>
  </si>
  <si>
    <t xml:space="preserve">Fotocellula inox 69 mm</t>
  </si>
  <si>
    <t xml:space="preserve">S3-F21</t>
  </si>
  <si>
    <t xml:space="preserve">RIC-17749</t>
  </si>
  <si>
    <t xml:space="preserve">Encoder tipo A 33 mm</t>
  </si>
  <si>
    <t xml:space="preserve">RIC-17756</t>
  </si>
  <si>
    <t xml:space="preserve">Lama di taglio tipo A 34 mm</t>
  </si>
  <si>
    <t xml:space="preserve">RIC-17763</t>
  </si>
  <si>
    <t xml:space="preserve">Rullo trasportatore rinforzato 95 mm</t>
  </si>
  <si>
    <t xml:space="preserve">RIC-17770</t>
  </si>
  <si>
    <t xml:space="preserve">Cuscinetto inox 34 mm</t>
  </si>
  <si>
    <t xml:space="preserve">RIC-17777</t>
  </si>
  <si>
    <t xml:space="preserve">Cinghia dentata inox 14 mm</t>
  </si>
  <si>
    <t xml:space="preserve">RIC-17784</t>
  </si>
  <si>
    <t xml:space="preserve">Sensore induttivo tipo B 56 mm</t>
  </si>
  <si>
    <t xml:space="preserve">S5-D16</t>
  </si>
  <si>
    <t xml:space="preserve">RIC-17791</t>
  </si>
  <si>
    <t xml:space="preserve">Elettrovalvola rinforzato 33 mm</t>
  </si>
  <si>
    <t xml:space="preserve">RIC-17798</t>
  </si>
  <si>
    <t xml:space="preserve">Guarnizione tipo B 71 mm</t>
  </si>
  <si>
    <t xml:space="preserve">RIC-17805</t>
  </si>
  <si>
    <t xml:space="preserve">RIC-17812</t>
  </si>
  <si>
    <t xml:space="preserve">S7-B13</t>
  </si>
  <si>
    <t xml:space="preserve">RIC-17819</t>
  </si>
  <si>
    <t xml:space="preserve">Encoder inox 90 mm</t>
  </si>
  <si>
    <t xml:space="preserve">S7-A04</t>
  </si>
  <si>
    <t xml:space="preserve">RIC-17826</t>
  </si>
  <si>
    <t xml:space="preserve">Lama di taglio rinforzato 40 mm</t>
  </si>
  <si>
    <t xml:space="preserve">S1-E04</t>
  </si>
  <si>
    <t xml:space="preserve">RIC-17833</t>
  </si>
  <si>
    <t xml:space="preserve">Rullo trasportatore tipo A 41 mm</t>
  </si>
  <si>
    <t xml:space="preserve">S8-C07</t>
  </si>
  <si>
    <t xml:space="preserve">RIC-17840</t>
  </si>
  <si>
    <t xml:space="preserve">Cuscinetto tipo A 25 mm</t>
  </si>
  <si>
    <t xml:space="preserve">RIC-17847</t>
  </si>
  <si>
    <t xml:space="preserve">Cinghia dentata tipo B 61 mm</t>
  </si>
  <si>
    <t xml:space="preserve">RIC-17854</t>
  </si>
  <si>
    <t xml:space="preserve">Sensore induttivo inox 30 mm</t>
  </si>
  <si>
    <t xml:space="preserve">RIC-17861</t>
  </si>
  <si>
    <t xml:space="preserve">Elettrovalvola inox 34 mm</t>
  </si>
  <si>
    <t xml:space="preserve">RIC-17868</t>
  </si>
  <si>
    <t xml:space="preserve">Guarnizione rinforzato 74 mm</t>
  </si>
  <si>
    <t xml:space="preserve">S2-A11</t>
  </si>
  <si>
    <t xml:space="preserve">RIC-17875</t>
  </si>
  <si>
    <t xml:space="preserve">Motoriduttore rinforzato 65 mm</t>
  </si>
  <si>
    <t xml:space="preserve">RIC-17882</t>
  </si>
  <si>
    <t xml:space="preserve">Fotocellula rinforzato 24 mm</t>
  </si>
  <si>
    <t xml:space="preserve">S3-A08</t>
  </si>
  <si>
    <t xml:space="preserve">RIC-17889</t>
  </si>
  <si>
    <t xml:space="preserve">Encoder tipo B 27 mm</t>
  </si>
  <si>
    <t xml:space="preserve">RIC-17896</t>
  </si>
  <si>
    <t xml:space="preserve">S8-A21</t>
  </si>
  <si>
    <t xml:space="preserve">RIC-17903</t>
  </si>
  <si>
    <t xml:space="preserve">Rullo trasportatore tipo A 32 mm</t>
  </si>
  <si>
    <t xml:space="preserve">RIC-17910</t>
  </si>
  <si>
    <t xml:space="preserve">S7-E03</t>
  </si>
  <si>
    <t xml:space="preserve">RIC-17917</t>
  </si>
  <si>
    <t xml:space="preserve">Cinghia dentata tipo B 16 mm</t>
  </si>
  <si>
    <t xml:space="preserve">S7-B11</t>
  </si>
  <si>
    <t xml:space="preserve">RIC-17924</t>
  </si>
  <si>
    <t xml:space="preserve">Sensore induttivo inox 60 mm</t>
  </si>
  <si>
    <t xml:space="preserve">S1-F29</t>
  </si>
  <si>
    <t xml:space="preserve">RIC-17931</t>
  </si>
  <si>
    <t xml:space="preserve">Elettrovalvola rinforzato 14 mm</t>
  </si>
  <si>
    <t xml:space="preserve">RIC-17938</t>
  </si>
  <si>
    <t xml:space="preserve">Guarnizione tipo A 22 mm</t>
  </si>
  <si>
    <t xml:space="preserve">RIC-17945</t>
  </si>
  <si>
    <t xml:space="preserve">Motoriduttore inox 57 mm</t>
  </si>
  <si>
    <t xml:space="preserve">RIC-17952</t>
  </si>
  <si>
    <t xml:space="preserve">Fotocellula tipo A 59 mm</t>
  </si>
  <si>
    <t xml:space="preserve">S5-D20</t>
  </si>
  <si>
    <t xml:space="preserve">RIC-17959</t>
  </si>
  <si>
    <t xml:space="preserve">Encoder inox 23 mm</t>
  </si>
  <si>
    <t xml:space="preserve">RIC-17966</t>
  </si>
  <si>
    <t xml:space="preserve">S1-A24</t>
  </si>
  <si>
    <t xml:space="preserve">RIC-17973</t>
  </si>
  <si>
    <t xml:space="preserve">Rullo trasportatore rinforzato 15 mm</t>
  </si>
  <si>
    <t xml:space="preserve">S7-F20</t>
  </si>
  <si>
    <t xml:space="preserve">RIC-17980</t>
  </si>
  <si>
    <t xml:space="preserve">S6-E15</t>
  </si>
  <si>
    <t xml:space="preserve">RIC-17987</t>
  </si>
  <si>
    <t xml:space="preserve">Cinghia dentata rinforzato 90 mm</t>
  </si>
  <si>
    <t xml:space="preserve">S1-C10</t>
  </si>
  <si>
    <t xml:space="preserve">RIC-17994</t>
  </si>
  <si>
    <t xml:space="preserve">Sensore induttivo inox 82 mm</t>
  </si>
  <si>
    <t xml:space="preserve">RIC-18001</t>
  </si>
  <si>
    <t xml:space="preserve">Elettrovalvola tipo B 89 mm</t>
  </si>
  <si>
    <t xml:space="preserve">S8-C21</t>
  </si>
  <si>
    <t xml:space="preserve">RIC-18008</t>
  </si>
  <si>
    <t xml:space="preserve">S1-B11</t>
  </si>
  <si>
    <t xml:space="preserve">RIC-18015</t>
  </si>
  <si>
    <t xml:space="preserve">Motoriduttore tipo B 13 mm</t>
  </si>
  <si>
    <t xml:space="preserve">RIC-18022</t>
  </si>
  <si>
    <t xml:space="preserve">RIC-18029</t>
  </si>
  <si>
    <t xml:space="preserve">Encoder tipo B 66 mm</t>
  </si>
  <si>
    <t xml:space="preserve">RIC-18036</t>
  </si>
  <si>
    <t xml:space="preserve">Lama di taglio tipo B 81 mm</t>
  </si>
  <si>
    <t xml:space="preserve">S5-C01</t>
  </si>
  <si>
    <t xml:space="preserve">RIC-18043</t>
  </si>
  <si>
    <t xml:space="preserve">Rullo trasportatore inox 16 mm</t>
  </si>
  <si>
    <t xml:space="preserve">S2-B27</t>
  </si>
  <si>
    <t xml:space="preserve">RIC-18050</t>
  </si>
  <si>
    <t xml:space="preserve">Cuscinetto inox 80 mm</t>
  </si>
  <si>
    <t xml:space="preserve">RIC-18057</t>
  </si>
  <si>
    <t xml:space="preserve">RIC-18064</t>
  </si>
  <si>
    <t xml:space="preserve">Sensore induttivo tipo A 68 mm</t>
  </si>
  <si>
    <t xml:space="preserve">RIC-18071</t>
  </si>
  <si>
    <t xml:space="preserve">Elettrovalvola tipo B 29 mm</t>
  </si>
  <si>
    <t xml:space="preserve">S5-B29</t>
  </si>
  <si>
    <t xml:space="preserve">RIC-18078</t>
  </si>
  <si>
    <t xml:space="preserve">Guarnizione rinforzato 22 mm</t>
  </si>
  <si>
    <t xml:space="preserve">S3-D21</t>
  </si>
  <si>
    <t xml:space="preserve">RIC-18085</t>
  </si>
  <si>
    <t xml:space="preserve">RIC-18092</t>
  </si>
  <si>
    <t xml:space="preserve">Fotocellula inox 45 mm</t>
  </si>
  <si>
    <t xml:space="preserve">S5-E18</t>
  </si>
  <si>
    <t xml:space="preserve">RIC-18099</t>
  </si>
  <si>
    <t xml:space="preserve">Encoder rinforzato 29 mm</t>
  </si>
  <si>
    <t xml:space="preserve">S4-F23</t>
  </si>
  <si>
    <t xml:space="preserve">RIC-18106</t>
  </si>
  <si>
    <t xml:space="preserve">RIC-18113</t>
  </si>
  <si>
    <t xml:space="preserve">S3-D04</t>
  </si>
  <si>
    <t xml:space="preserve">RIC-18120</t>
  </si>
  <si>
    <t xml:space="preserve">Cuscinetto inox 33 mm</t>
  </si>
  <si>
    <t xml:space="preserve">RIC-18127</t>
  </si>
  <si>
    <t xml:space="preserve">Cinghia dentata tipo A 95 mm</t>
  </si>
  <si>
    <t xml:space="preserve">RIC-18134</t>
  </si>
  <si>
    <t xml:space="preserve">Sensore induttivo tipo A 62 mm</t>
  </si>
  <si>
    <t xml:space="preserve">S8-A01</t>
  </si>
  <si>
    <t xml:space="preserve">RIC-18141</t>
  </si>
  <si>
    <t xml:space="preserve">RIC-18148</t>
  </si>
  <si>
    <t xml:space="preserve">Guarnizione rinforzato 26 mm</t>
  </si>
  <si>
    <t xml:space="preserve">S7-A10</t>
  </si>
  <si>
    <t xml:space="preserve">RIC-18155</t>
  </si>
  <si>
    <t xml:space="preserve">Motoriduttore rinforzato 25 mm</t>
  </si>
  <si>
    <t xml:space="preserve">S4-D11</t>
  </si>
  <si>
    <t xml:space="preserve">RIC-18162</t>
  </si>
  <si>
    <t xml:space="preserve">RIC-18169</t>
  </si>
  <si>
    <t xml:space="preserve">S2-E15</t>
  </si>
  <si>
    <t xml:space="preserve">RIC-18176</t>
  </si>
  <si>
    <t xml:space="preserve">S5-D04</t>
  </si>
  <si>
    <t xml:space="preserve">RIC-18183</t>
  </si>
  <si>
    <t xml:space="preserve">RIC-18190</t>
  </si>
  <si>
    <t xml:space="preserve">S2-E21</t>
  </si>
  <si>
    <t xml:space="preserve">RIC-18197</t>
  </si>
  <si>
    <t xml:space="preserve">RIC-18204</t>
  </si>
  <si>
    <t xml:space="preserve">Sensore induttivo rinforzato 51 mm</t>
  </si>
  <si>
    <t xml:space="preserve">RIC-18211</t>
  </si>
  <si>
    <t xml:space="preserve">Elettrovalvola inox 88 mm</t>
  </si>
  <si>
    <t xml:space="preserve">S3-B09</t>
  </si>
  <si>
    <t xml:space="preserve">RIC-18218</t>
  </si>
  <si>
    <t xml:space="preserve">Guarnizione tipo A 62 mm</t>
  </si>
  <si>
    <t xml:space="preserve">S1-C28</t>
  </si>
  <si>
    <t xml:space="preserve">RIC-18225</t>
  </si>
  <si>
    <t xml:space="preserve">S7-A15</t>
  </si>
  <si>
    <t xml:space="preserve">RIC-18232</t>
  </si>
  <si>
    <t xml:space="preserve">Fotocellula tipo A 21 mm</t>
  </si>
  <si>
    <t xml:space="preserve">S4-C13</t>
  </si>
  <si>
    <t xml:space="preserve">RIC-18239</t>
  </si>
  <si>
    <t xml:space="preserve">S8-F14</t>
  </si>
  <si>
    <t xml:space="preserve">RIC-18246</t>
  </si>
  <si>
    <t xml:space="preserve">Lama di taglio tipo A 38 mm</t>
  </si>
  <si>
    <t xml:space="preserve">S2-C17</t>
  </si>
  <si>
    <t xml:space="preserve">RIC-18253</t>
  </si>
  <si>
    <t xml:space="preserve">Rullo trasportatore inox 62 mm</t>
  </si>
  <si>
    <t xml:space="preserve">S6-E14</t>
  </si>
  <si>
    <t xml:space="preserve">RIC-18260</t>
  </si>
  <si>
    <t xml:space="preserve">S7-C09</t>
  </si>
  <si>
    <t xml:space="preserve">RIC-18267</t>
  </si>
  <si>
    <t xml:space="preserve">Cinghia dentata inox 67 mm</t>
  </si>
  <si>
    <t xml:space="preserve">S1-D19</t>
  </si>
  <si>
    <t xml:space="preserve">RIC-18274</t>
  </si>
  <si>
    <t xml:space="preserve">RIC-18281</t>
  </si>
  <si>
    <t xml:space="preserve">RIC-18288</t>
  </si>
  <si>
    <t xml:space="preserve">Guarnizione inox 78 mm</t>
  </si>
  <si>
    <t xml:space="preserve">RIC-18295</t>
  </si>
  <si>
    <t xml:space="preserve">RIC-18302</t>
  </si>
  <si>
    <t xml:space="preserve">Fotocellula rinforzato 56 mm</t>
  </si>
  <si>
    <t xml:space="preserve">S2-B18</t>
  </si>
  <si>
    <t xml:space="preserve">RIC-18309</t>
  </si>
  <si>
    <t xml:space="preserve">Encoder tipo B 25 mm</t>
  </si>
  <si>
    <t xml:space="preserve">S1-A16</t>
  </si>
  <si>
    <t xml:space="preserve">RIC-18316</t>
  </si>
  <si>
    <t xml:space="preserve">Lama di taglio inox 90 mm</t>
  </si>
  <si>
    <t xml:space="preserve">RIC-18323</t>
  </si>
  <si>
    <t xml:space="preserve">RIC-18330</t>
  </si>
  <si>
    <t xml:space="preserve">RIC-18337</t>
  </si>
  <si>
    <t xml:space="preserve">Cinghia dentata rinforzato 96 mm</t>
  </si>
  <si>
    <t xml:space="preserve">S5-E08</t>
  </si>
  <si>
    <t xml:space="preserve">RIC-18344</t>
  </si>
  <si>
    <t xml:space="preserve">Sensore induttivo rinforzato 59 mm</t>
  </si>
  <si>
    <t xml:space="preserve">S4-E27</t>
  </si>
  <si>
    <t xml:space="preserve">RIC-18351</t>
  </si>
  <si>
    <t xml:space="preserve">Elettrovalvola tipo A 66 mm</t>
  </si>
  <si>
    <t xml:space="preserve">RIC-18358</t>
  </si>
  <si>
    <t xml:space="preserve">Guarnizione inox 39 mm</t>
  </si>
  <si>
    <t xml:space="preserve">RIC-18365</t>
  </si>
  <si>
    <t xml:space="preserve">Motoriduttore inox 83 mm</t>
  </si>
  <si>
    <t xml:space="preserve">RIC-18372</t>
  </si>
  <si>
    <t xml:space="preserve">Fotocellula tipo A 85 mm</t>
  </si>
  <si>
    <t xml:space="preserve">RIC-18379</t>
  </si>
  <si>
    <t xml:space="preserve">Encoder inox 36 mm</t>
  </si>
  <si>
    <t xml:space="preserve">RIC-18386</t>
  </si>
  <si>
    <t xml:space="preserve">Lama di taglio inox 14 mm</t>
  </si>
  <si>
    <t xml:space="preserve">RIC-18393</t>
  </si>
  <si>
    <t xml:space="preserve">Rullo trasportatore rinforzato 47 mm</t>
  </si>
  <si>
    <t xml:space="preserve">S3-F25</t>
  </si>
  <si>
    <t xml:space="preserve">RIC-18400</t>
  </si>
  <si>
    <t xml:space="preserve">Cuscinetto tipo B 46 mm</t>
  </si>
  <si>
    <t xml:space="preserve">RIC-18407</t>
  </si>
  <si>
    <t xml:space="preserve">Cinghia dentata rinforzato 60 mm</t>
  </si>
  <si>
    <t xml:space="preserve">RIC-18414</t>
  </si>
  <si>
    <t xml:space="preserve">Sensore induttivo tipo B 83 mm</t>
  </si>
  <si>
    <t xml:space="preserve">RIC-18421</t>
  </si>
  <si>
    <t xml:space="preserve">S3-A10</t>
  </si>
  <si>
    <t xml:space="preserve">RIC-18428</t>
  </si>
  <si>
    <t xml:space="preserve">Guarnizione inox 44 mm</t>
  </si>
  <si>
    <t xml:space="preserve">S8-C25</t>
  </si>
  <si>
    <t xml:space="preserve">RIC-18435</t>
  </si>
  <si>
    <t xml:space="preserve">Motoriduttore rinforzato 42 mm</t>
  </si>
  <si>
    <t xml:space="preserve">RIC-18442</t>
  </si>
  <si>
    <t xml:space="preserve">RIC-18449</t>
  </si>
  <si>
    <t xml:space="preserve">S5-B07</t>
  </si>
  <si>
    <t xml:space="preserve">RIC-18456</t>
  </si>
  <si>
    <t xml:space="preserve">RIC-18463</t>
  </si>
  <si>
    <t xml:space="preserve">Rullo trasportatore tipo A 84 mm</t>
  </si>
  <si>
    <t xml:space="preserve">RIC-18470</t>
  </si>
  <si>
    <t xml:space="preserve">Cuscinetto tipo A 53 mm</t>
  </si>
  <si>
    <t xml:space="preserve">S7-E26</t>
  </si>
  <si>
    <t xml:space="preserve">RIC-18477</t>
  </si>
  <si>
    <t xml:space="preserve">Cinghia dentata tipo B 70 mm</t>
  </si>
  <si>
    <t xml:space="preserve">RIC-18484</t>
  </si>
  <si>
    <t xml:space="preserve">RIC-18491</t>
  </si>
  <si>
    <t xml:space="preserve">RIC-18498</t>
  </si>
  <si>
    <t xml:space="preserve">Guarnizione tipo A 34 mm</t>
  </si>
  <si>
    <t xml:space="preserve">RIC-18505</t>
  </si>
  <si>
    <t xml:space="preserve">S1-A09</t>
  </si>
  <si>
    <t xml:space="preserve">RIC-18512</t>
  </si>
  <si>
    <t xml:space="preserve">Fotocellula inox 29 mm</t>
  </si>
  <si>
    <t xml:space="preserve">RIC-18519</t>
  </si>
  <si>
    <t xml:space="preserve">Encoder tipo B 58 mm</t>
  </si>
  <si>
    <t xml:space="preserve">RIC-18526</t>
  </si>
  <si>
    <t xml:space="preserve">Lama di taglio inox 20 mm</t>
  </si>
  <si>
    <t xml:space="preserve">S8-C26</t>
  </si>
  <si>
    <t xml:space="preserve">RIC-18533</t>
  </si>
  <si>
    <t xml:space="preserve">Rullo trasportatore rinforzato 12 mm</t>
  </si>
  <si>
    <t xml:space="preserve">S8-D07</t>
  </si>
  <si>
    <t xml:space="preserve">RIC-18540</t>
  </si>
  <si>
    <t xml:space="preserve">Cuscinetto tipo A 98 mm</t>
  </si>
  <si>
    <t xml:space="preserve">S8-F08</t>
  </si>
  <si>
    <t xml:space="preserve">RIC-18547</t>
  </si>
  <si>
    <t xml:space="preserve">Cinghia dentata rinforzato 29 mm</t>
  </si>
  <si>
    <t xml:space="preserve">S2-B26</t>
  </si>
  <si>
    <t xml:space="preserve">RIC-18554</t>
  </si>
  <si>
    <t xml:space="preserve">Sensore induttivo rinforzato 97 mm</t>
  </si>
  <si>
    <t xml:space="preserve">RIC-18561</t>
  </si>
  <si>
    <t xml:space="preserve">Elettrovalvola tipo A 48 mm</t>
  </si>
  <si>
    <t xml:space="preserve">S7-D16</t>
  </si>
  <si>
    <t xml:space="preserve">RIC-18568</t>
  </si>
  <si>
    <t xml:space="preserve">Guarnizione rinforzato 79 mm</t>
  </si>
  <si>
    <t xml:space="preserve">S1-B16</t>
  </si>
  <si>
    <t xml:space="preserve">RIC-18575</t>
  </si>
  <si>
    <t xml:space="preserve">Motoriduttore tipo B 54 mm</t>
  </si>
  <si>
    <t xml:space="preserve">S7-B24</t>
  </si>
  <si>
    <t xml:space="preserve">RIC-18582</t>
  </si>
  <si>
    <t xml:space="preserve">Fotocellula tipo A 87 mm</t>
  </si>
  <si>
    <t xml:space="preserve">RIC-18589</t>
  </si>
  <si>
    <t xml:space="preserve">Encoder inox 86 mm</t>
  </si>
  <si>
    <t xml:space="preserve">RIC-18596</t>
  </si>
  <si>
    <t xml:space="preserve">Lama di taglio rinforzato 77 mm</t>
  </si>
  <si>
    <t xml:space="preserve">RIC-18603</t>
  </si>
  <si>
    <t xml:space="preserve">S3-A29</t>
  </si>
  <si>
    <t xml:space="preserve">RIC-18610</t>
  </si>
  <si>
    <t xml:space="preserve">Cuscinetto rinforzato 26 mm</t>
  </si>
  <si>
    <t xml:space="preserve">RIC-18617</t>
  </si>
  <si>
    <t xml:space="preserve">RIC-18624</t>
  </si>
  <si>
    <t xml:space="preserve">Sensore induttivo tipo A 61 mm</t>
  </si>
  <si>
    <t xml:space="preserve">S3-D25</t>
  </si>
  <si>
    <t xml:space="preserve">RIC-18631</t>
  </si>
  <si>
    <t xml:space="preserve">Elettrovalvola tipo B 75 mm</t>
  </si>
  <si>
    <t xml:space="preserve">RIC-18638</t>
  </si>
  <si>
    <t xml:space="preserve">Guarnizione rinforzato 44 mm</t>
  </si>
  <si>
    <t xml:space="preserve">S2-B04</t>
  </si>
  <si>
    <t xml:space="preserve">RIC-18645</t>
  </si>
  <si>
    <t xml:space="preserve">Motoriduttore tipo A 75 mm</t>
  </si>
  <si>
    <t xml:space="preserve">RIC-18652</t>
  </si>
  <si>
    <t xml:space="preserve">Fotocellula tipo A 52 mm</t>
  </si>
  <si>
    <t xml:space="preserve">S4-C08</t>
  </si>
  <si>
    <t xml:space="preserve">RIC-18659</t>
  </si>
  <si>
    <t xml:space="preserve">RIC-18666</t>
  </si>
  <si>
    <t xml:space="preserve">Lama di taglio inox 48 mm</t>
  </si>
  <si>
    <t xml:space="preserve">RIC-18673</t>
  </si>
  <si>
    <t xml:space="preserve">RIC-18680</t>
  </si>
  <si>
    <t xml:space="preserve">Cuscinetto rinforzato 25 mm</t>
  </si>
  <si>
    <t xml:space="preserve">RIC-18687</t>
  </si>
  <si>
    <t xml:space="preserve">Cinghia dentata tipo B 97 mm</t>
  </si>
  <si>
    <t xml:space="preserve">RIC-18694</t>
  </si>
  <si>
    <t xml:space="preserve">Sensore induttivo inox 83 mm</t>
  </si>
  <si>
    <t xml:space="preserve">S7-E02</t>
  </si>
  <si>
    <t xml:space="preserve">RIC-18701</t>
  </si>
  <si>
    <t xml:space="preserve">S7-A14</t>
  </si>
  <si>
    <t xml:space="preserve">RIC-18708</t>
  </si>
  <si>
    <t xml:space="preserve">S7-B14</t>
  </si>
  <si>
    <t xml:space="preserve">RIC-18715</t>
  </si>
  <si>
    <t xml:space="preserve">RIC-18722</t>
  </si>
  <si>
    <t xml:space="preserve">Fotocellula inox 73 mm</t>
  </si>
  <si>
    <t xml:space="preserve">RIC-18729</t>
  </si>
  <si>
    <t xml:space="preserve">Encoder tipo A 40 mm</t>
  </si>
  <si>
    <t xml:space="preserve">RIC-18736</t>
  </si>
  <si>
    <t xml:space="preserve">Lama di taglio inox 96 mm</t>
  </si>
  <si>
    <t xml:space="preserve">RIC-18743</t>
  </si>
  <si>
    <t xml:space="preserve">Rullo trasportatore inox 42 mm</t>
  </si>
  <si>
    <t xml:space="preserve">S8-D13</t>
  </si>
  <si>
    <t xml:space="preserve">RIC-18750</t>
  </si>
  <si>
    <t xml:space="preserve">RIC-18757</t>
  </si>
  <si>
    <t xml:space="preserve">S7-F07</t>
  </si>
  <si>
    <t xml:space="preserve">RIC-18764</t>
  </si>
  <si>
    <t xml:space="preserve">Sensore induttivo inox 88 mm</t>
  </si>
  <si>
    <t xml:space="preserve">S3-A23</t>
  </si>
  <si>
    <t xml:space="preserve">RIC-18771</t>
  </si>
  <si>
    <t xml:space="preserve">S4-E23</t>
  </si>
  <si>
    <t xml:space="preserve">RIC-18778</t>
  </si>
  <si>
    <t xml:space="preserve">RIC-18785</t>
  </si>
  <si>
    <t xml:space="preserve">RIC-18792</t>
  </si>
  <si>
    <t xml:space="preserve">Fotocellula tipo A 51 mm</t>
  </si>
  <si>
    <t xml:space="preserve">RIC-18799</t>
  </si>
  <si>
    <t xml:space="preserve">Encoder tipo B 91 mm</t>
  </si>
  <si>
    <t xml:space="preserve">RIC-18806</t>
  </si>
  <si>
    <t xml:space="preserve">Lama di taglio tipo B 31 mm</t>
  </si>
  <si>
    <t xml:space="preserve">S5-E20</t>
  </si>
  <si>
    <t xml:space="preserve">RIC-18813</t>
  </si>
  <si>
    <t xml:space="preserve">Rullo trasportatore rinforzato 42 mm</t>
  </si>
  <si>
    <t xml:space="preserve">S5-D26</t>
  </si>
  <si>
    <t xml:space="preserve">RIC-18820</t>
  </si>
  <si>
    <t xml:space="preserve">Cuscinetto rinforzato 43 mm</t>
  </si>
  <si>
    <t xml:space="preserve">S8-B20</t>
  </si>
  <si>
    <t xml:space="preserve">RIC-18827</t>
  </si>
  <si>
    <t xml:space="preserve">S3-B24</t>
  </si>
  <si>
    <t xml:space="preserve">RIC-18834</t>
  </si>
  <si>
    <t xml:space="preserve">Sensore induttivo inox 49 mm</t>
  </si>
  <si>
    <t xml:space="preserve">RIC-18841</t>
  </si>
  <si>
    <t xml:space="preserve">RIC-18848</t>
  </si>
  <si>
    <t xml:space="preserve">S3-B29</t>
  </si>
  <si>
    <t xml:space="preserve">RIC-18855</t>
  </si>
  <si>
    <t xml:space="preserve">Motoriduttore inox 75 mm</t>
  </si>
  <si>
    <t xml:space="preserve">S4-B06</t>
  </si>
  <si>
    <t xml:space="preserve">RIC-18862</t>
  </si>
  <si>
    <t xml:space="preserve">Fotocellula rinforzato 10 mm</t>
  </si>
  <si>
    <t xml:space="preserve">S7-B03</t>
  </si>
  <si>
    <t xml:space="preserve">RIC-18869</t>
  </si>
  <si>
    <t xml:space="preserve">Encoder tipo B 23 mm</t>
  </si>
  <si>
    <t xml:space="preserve">RIC-18876</t>
  </si>
  <si>
    <t xml:space="preserve">S5-C22</t>
  </si>
  <si>
    <t xml:space="preserve">RIC-18883</t>
  </si>
  <si>
    <t xml:space="preserve">Rullo trasportatore tipo A 83 mm</t>
  </si>
  <si>
    <t xml:space="preserve">RIC-18890</t>
  </si>
  <si>
    <t xml:space="preserve">RIC-18897</t>
  </si>
  <si>
    <t xml:space="preserve">Cinghia dentata rinforzato 68 mm</t>
  </si>
  <si>
    <t xml:space="preserve">RIC-18904</t>
  </si>
  <si>
    <t xml:space="preserve">Sensore induttivo inox 93 mm</t>
  </si>
  <si>
    <t xml:space="preserve">S6-E10</t>
  </si>
  <si>
    <t xml:space="preserve">RIC-18911</t>
  </si>
  <si>
    <t xml:space="preserve">Elettrovalvola tipo B 87 mm</t>
  </si>
  <si>
    <t xml:space="preserve">RIC-18918</t>
  </si>
  <si>
    <t xml:space="preserve">Guarnizione tipo A 39 mm</t>
  </si>
  <si>
    <t xml:space="preserve">S1-A20</t>
  </si>
  <si>
    <t xml:space="preserve">RIC-18925</t>
  </si>
  <si>
    <t xml:space="preserve">Motoriduttore tipo B 93 mm</t>
  </si>
  <si>
    <t xml:space="preserve">RIC-18932</t>
  </si>
  <si>
    <t xml:space="preserve">Fotocellula rinforzato 32 mm</t>
  </si>
  <si>
    <t xml:space="preserve">RIC-18939</t>
  </si>
  <si>
    <t xml:space="preserve">Encoder rinforzato 75 mm</t>
  </si>
  <si>
    <t xml:space="preserve">RIC-18946</t>
  </si>
  <si>
    <t xml:space="preserve">Lama di taglio inox 31 mm</t>
  </si>
  <si>
    <t xml:space="preserve">S1-C27</t>
  </si>
  <si>
    <t xml:space="preserve">RIC-18953</t>
  </si>
  <si>
    <t xml:space="preserve">Rullo trasportatore rinforzato 28 mm</t>
  </si>
  <si>
    <t xml:space="preserve">S1-E02</t>
  </si>
  <si>
    <t xml:space="preserve">RIC-18960</t>
  </si>
  <si>
    <t xml:space="preserve">S5-F04</t>
  </si>
  <si>
    <t xml:space="preserve">RIC-18967</t>
  </si>
  <si>
    <t xml:space="preserve">Cinghia dentata inox 93 mm</t>
  </si>
  <si>
    <t xml:space="preserve">RIC-18974</t>
  </si>
  <si>
    <t xml:space="preserve">RIC-18981</t>
  </si>
  <si>
    <t xml:space="preserve">Elettrovalvola tipo B 48 mm</t>
  </si>
  <si>
    <t xml:space="preserve">RIC-18988</t>
  </si>
  <si>
    <t xml:space="preserve">Guarnizione tipo B 61 mm</t>
  </si>
  <si>
    <t xml:space="preserve">RIC-18995</t>
  </si>
  <si>
    <t xml:space="preserve">Motoriduttore inox 22 mm</t>
  </si>
  <si>
    <t xml:space="preserve">S2-E09</t>
  </si>
  <si>
    <t xml:space="preserve">RIC-19002</t>
  </si>
  <si>
    <t xml:space="preserve">Fotocellula tipo B 52 mm</t>
  </si>
  <si>
    <t xml:space="preserve">S6-D01</t>
  </si>
  <si>
    <t xml:space="preserve">RIC-19009</t>
  </si>
  <si>
    <t xml:space="preserve">RIC-19016</t>
  </si>
  <si>
    <t xml:space="preserve">Lama di taglio rinforzato 98 mm</t>
  </si>
  <si>
    <t xml:space="preserve">RIC-19023</t>
  </si>
  <si>
    <t xml:space="preserve">RIC-19030</t>
  </si>
  <si>
    <t xml:space="preserve">Cuscinetto tipo A 50 mm</t>
  </si>
  <si>
    <t xml:space="preserve">RIC-19037</t>
  </si>
  <si>
    <t xml:space="preserve">Cinghia dentata inox 97 mm</t>
  </si>
  <si>
    <t xml:space="preserve">S6-E18</t>
  </si>
  <si>
    <t xml:space="preserve">RIC-19044</t>
  </si>
  <si>
    <t xml:space="preserve">Sensore induttivo inox 45 mm</t>
  </si>
  <si>
    <t xml:space="preserve">S3-A26</t>
  </si>
  <si>
    <t xml:space="preserve">RIC-19051</t>
  </si>
  <si>
    <t xml:space="preserve">Elettrovalvola tipo A 98 mm</t>
  </si>
  <si>
    <t xml:space="preserve">RIC-19058</t>
  </si>
  <si>
    <t xml:space="preserve">Guarnizione rinforzato 80 mm</t>
  </si>
  <si>
    <t xml:space="preserve">RIC-19065</t>
  </si>
  <si>
    <t xml:space="preserve">Motoriduttore tipo B 41 mm</t>
  </si>
  <si>
    <t xml:space="preserve">S2-F05</t>
  </si>
  <si>
    <t xml:space="preserve">RIC-19072</t>
  </si>
  <si>
    <t xml:space="preserve">Fotocellula tipo A 40 mm</t>
  </si>
  <si>
    <t xml:space="preserve">RIC-19079</t>
  </si>
  <si>
    <t xml:space="preserve">S3-B28</t>
  </si>
  <si>
    <t xml:space="preserve">RIC-19086</t>
  </si>
  <si>
    <t xml:space="preserve">Lama di taglio inox 71 mm</t>
  </si>
  <si>
    <t xml:space="preserve">S5-A27</t>
  </si>
  <si>
    <t xml:space="preserve">RIC-19093</t>
  </si>
  <si>
    <t xml:space="preserve">S8-A12</t>
  </si>
  <si>
    <t xml:space="preserve">RIC-19100</t>
  </si>
  <si>
    <t xml:space="preserve">Cuscinetto inox 26 mm</t>
  </si>
  <si>
    <t xml:space="preserve">S6-F01</t>
  </si>
  <si>
    <t xml:space="preserve">RIC-19107</t>
  </si>
  <si>
    <t xml:space="preserve">Cinghia dentata tipo B 11 mm</t>
  </si>
  <si>
    <t xml:space="preserve">RIC-19114</t>
  </si>
  <si>
    <t xml:space="preserve">Sensore induttivo rinforzato 82 mm</t>
  </si>
  <si>
    <t xml:space="preserve">S1-F16</t>
  </si>
  <si>
    <t xml:space="preserve">RIC-19121</t>
  </si>
  <si>
    <t xml:space="preserve">RIC-19128</t>
  </si>
  <si>
    <t xml:space="preserve">Guarnizione rinforzato 93 mm</t>
  </si>
  <si>
    <t xml:space="preserve">RIC-19135</t>
  </si>
  <si>
    <t xml:space="preserve">Motoriduttore inox 84 mm</t>
  </si>
  <si>
    <t xml:space="preserve">RIC-19142</t>
  </si>
  <si>
    <t xml:space="preserve">RIC-19149</t>
  </si>
  <si>
    <t xml:space="preserve">Encoder rinforzato 26 mm</t>
  </si>
  <si>
    <t xml:space="preserve">RIC-19156</t>
  </si>
  <si>
    <t xml:space="preserve">RIC-19163</t>
  </si>
  <si>
    <t xml:space="preserve">RIC-19170</t>
  </si>
  <si>
    <t xml:space="preserve">S5-F19</t>
  </si>
  <si>
    <t xml:space="preserve">RIC-19177</t>
  </si>
  <si>
    <t xml:space="preserve">RIC-19184</t>
  </si>
  <si>
    <t xml:space="preserve">RIC-19191</t>
  </si>
  <si>
    <t xml:space="preserve">Elettrovalvola tipo A 72 mm</t>
  </si>
  <si>
    <t xml:space="preserve">RIC-19198</t>
  </si>
  <si>
    <t xml:space="preserve">Guarnizione tipo A 52 mm</t>
  </si>
  <si>
    <t xml:space="preserve">S1-E12</t>
  </si>
  <si>
    <t xml:space="preserve">RIC-19205</t>
  </si>
  <si>
    <t xml:space="preserve">RIC-19212</t>
  </si>
  <si>
    <t xml:space="preserve">Fotocellula rinforzato 28 mm</t>
  </si>
  <si>
    <t xml:space="preserve">RIC-19219</t>
  </si>
  <si>
    <t xml:space="preserve">Encoder inox 79 mm</t>
  </si>
  <si>
    <t xml:space="preserve">S6-B17</t>
  </si>
  <si>
    <t xml:space="preserve">RIC-19226</t>
  </si>
  <si>
    <t xml:space="preserve">Lama di taglio rinforzato 37 mm</t>
  </si>
  <si>
    <t xml:space="preserve">RIC-19233</t>
  </si>
  <si>
    <t xml:space="preserve">Rullo trasportatore tipo A 19 mm</t>
  </si>
  <si>
    <t xml:space="preserve">RIC-19240</t>
  </si>
  <si>
    <t xml:space="preserve">RIC-19247</t>
  </si>
  <si>
    <t xml:space="preserve">Cinghia dentata rinforzato 63 mm</t>
  </si>
  <si>
    <t xml:space="preserve">RIC-19254</t>
  </si>
  <si>
    <t xml:space="preserve">RIC-19261</t>
  </si>
  <si>
    <t xml:space="preserve">Elettrovalvola inox 22 mm</t>
  </si>
  <si>
    <t xml:space="preserve">S6-A18</t>
  </si>
  <si>
    <t xml:space="preserve">RIC-19268</t>
  </si>
  <si>
    <t xml:space="preserve">RIC-19275</t>
  </si>
  <si>
    <t xml:space="preserve">Motoriduttore inox 40 mm</t>
  </si>
  <si>
    <t xml:space="preserve">S3-F18</t>
  </si>
  <si>
    <t xml:space="preserve">RIC-19282</t>
  </si>
  <si>
    <t xml:space="preserve">Fotocellula rinforzato 70 mm</t>
  </si>
  <si>
    <t xml:space="preserve">RIC-19289</t>
  </si>
  <si>
    <t xml:space="preserve">Encoder tipo B 20 mm</t>
  </si>
  <si>
    <t xml:space="preserve">RIC-19296</t>
  </si>
  <si>
    <t xml:space="preserve">Lama di taglio tipo A 28 mm</t>
  </si>
  <si>
    <t xml:space="preserve">RIC-19303</t>
  </si>
  <si>
    <t xml:space="preserve">Rullo trasportatore rinforzato 64 mm</t>
  </si>
  <si>
    <t xml:space="preserve">S4-A22</t>
  </si>
  <si>
    <t xml:space="preserve">RIC-19310</t>
  </si>
  <si>
    <t xml:space="preserve">Cuscinetto tipo B 26 mm</t>
  </si>
  <si>
    <t xml:space="preserve">RIC-19317</t>
  </si>
  <si>
    <t xml:space="preserve">Cinghia dentata tipo A 13 mm</t>
  </si>
  <si>
    <t xml:space="preserve">RIC-19324</t>
  </si>
  <si>
    <t xml:space="preserve">Sensore induttivo rinforzato 40 mm</t>
  </si>
  <si>
    <t xml:space="preserve">RIC-19331</t>
  </si>
  <si>
    <t xml:space="preserve">Elettrovalvola tipo A 91 mm</t>
  </si>
  <si>
    <t xml:space="preserve">RIC-19338</t>
  </si>
  <si>
    <t xml:space="preserve">RIC-19345</t>
  </si>
  <si>
    <t xml:space="preserve">Motoriduttore tipo B 61 mm</t>
  </si>
  <si>
    <t xml:space="preserve">RIC-19352</t>
  </si>
  <si>
    <t xml:space="preserve">RIC-19359</t>
  </si>
  <si>
    <t xml:space="preserve">S2-F08</t>
  </si>
  <si>
    <t xml:space="preserve">RIC-19366</t>
  </si>
  <si>
    <t xml:space="preserve">Lama di taglio tipo B 20 mm</t>
  </si>
  <si>
    <t xml:space="preserve">RIC-19373</t>
  </si>
  <si>
    <t xml:space="preserve">S3-D10</t>
  </si>
  <si>
    <t xml:space="preserve">RIC-19380</t>
  </si>
  <si>
    <t xml:space="preserve">Cuscinetto tipo B 52 mm</t>
  </si>
  <si>
    <t xml:space="preserve">RIC-19387</t>
  </si>
  <si>
    <t xml:space="preserve">Cinghia dentata tipo B 67 mm</t>
  </si>
  <si>
    <t xml:space="preserve">S7-E16</t>
  </si>
  <si>
    <t xml:space="preserve">RIC-19394</t>
  </si>
  <si>
    <t xml:space="preserve">Sensore induttivo tipo B 36 mm</t>
  </si>
  <si>
    <t xml:space="preserve">RIC-19401</t>
  </si>
  <si>
    <t xml:space="preserve">S2-D06</t>
  </si>
  <si>
    <t xml:space="preserve">RIC-19408</t>
  </si>
  <si>
    <t xml:space="preserve">Guarnizione inox 10 mm</t>
  </si>
  <si>
    <t xml:space="preserve">S7-A19</t>
  </si>
  <si>
    <t xml:space="preserve">RIC-19415</t>
  </si>
  <si>
    <t xml:space="preserve">RIC-19422</t>
  </si>
  <si>
    <t xml:space="preserve">Fotocellula rinforzato 62 mm</t>
  </si>
  <si>
    <t xml:space="preserve">S6-B12</t>
  </si>
  <si>
    <t xml:space="preserve">RIC-19429</t>
  </si>
  <si>
    <t xml:space="preserve">Encoder tipo B 79 mm</t>
  </si>
  <si>
    <t xml:space="preserve">S5-B25</t>
  </si>
  <si>
    <t xml:space="preserve">RIC-19436</t>
  </si>
  <si>
    <t xml:space="preserve">Lama di taglio tipo B 51 mm</t>
  </si>
  <si>
    <t xml:space="preserve">RIC-19443</t>
  </si>
  <si>
    <t xml:space="preserve">RIC-19450</t>
  </si>
  <si>
    <t xml:space="preserve">Cuscinetto rinforzato 12 mm</t>
  </si>
  <si>
    <t xml:space="preserve">RIC-19457</t>
  </si>
  <si>
    <t xml:space="preserve">Cinghia dentata inox 50 mm</t>
  </si>
  <si>
    <t xml:space="preserve">S5-E15</t>
  </si>
  <si>
    <t xml:space="preserve">RIC-19464</t>
  </si>
  <si>
    <t xml:space="preserve">Sensore induttivo rinforzato 54 mm</t>
  </si>
  <si>
    <t xml:space="preserve">RIC-19471</t>
  </si>
  <si>
    <t xml:space="preserve">Elettrovalvola tipo A 77 mm</t>
  </si>
  <si>
    <t xml:space="preserve">RIC-19478</t>
  </si>
  <si>
    <t xml:space="preserve">RIC-19485</t>
  </si>
  <si>
    <t xml:space="preserve">Motoriduttore tipo B 60 mm</t>
  </si>
  <si>
    <t xml:space="preserve">RIC-19492</t>
  </si>
  <si>
    <t xml:space="preserve">Fotocellula tipo A 98 mm</t>
  </si>
  <si>
    <t xml:space="preserve">RIC-19499</t>
  </si>
  <si>
    <t xml:space="preserve">Encoder tipo B 77 mm</t>
  </si>
  <si>
    <t xml:space="preserve">RIC-19506</t>
  </si>
  <si>
    <t xml:space="preserve">S6-C13</t>
  </si>
  <si>
    <t xml:space="preserve">RIC-19513</t>
  </si>
  <si>
    <t xml:space="preserve">Rullo trasportatore rinforzato 65 mm</t>
  </si>
  <si>
    <t xml:space="preserve">RIC-19520</t>
  </si>
  <si>
    <t xml:space="preserve">Cuscinetto rinforzato 76 mm</t>
  </si>
  <si>
    <t xml:space="preserve">RIC-19527</t>
  </si>
  <si>
    <t xml:space="preserve">Cinghia dentata inox 39 mm</t>
  </si>
  <si>
    <t xml:space="preserve">S5-A28</t>
  </si>
  <si>
    <t xml:space="preserve">RIC-19534</t>
  </si>
  <si>
    <t xml:space="preserve">Sensore induttivo tipo B 62 mm</t>
  </si>
  <si>
    <t xml:space="preserve">RIC-19541</t>
  </si>
  <si>
    <t xml:space="preserve">Elettrovalvola rinforzato 79 mm</t>
  </si>
  <si>
    <t xml:space="preserve">S2-D02</t>
  </si>
  <si>
    <t xml:space="preserve">RIC-19548</t>
  </si>
  <si>
    <t xml:space="preserve">Guarnizione tipo A 36 mm</t>
  </si>
  <si>
    <t xml:space="preserve">RIC-19555</t>
  </si>
  <si>
    <t xml:space="preserve">Motoriduttore tipo B 89 mm</t>
  </si>
  <si>
    <t xml:space="preserve">RIC-19562</t>
  </si>
  <si>
    <t xml:space="preserve">S6-F15</t>
  </si>
  <si>
    <t xml:space="preserve">RIC-19569</t>
  </si>
  <si>
    <t xml:space="preserve">RIC-19576</t>
  </si>
  <si>
    <t xml:space="preserve">RIC-19583</t>
  </si>
  <si>
    <t xml:space="preserve">RIC-19590</t>
  </si>
  <si>
    <t xml:space="preserve">Cuscinetto tipo A 24 mm</t>
  </si>
  <si>
    <t xml:space="preserve">S4-F22</t>
  </si>
  <si>
    <t xml:space="preserve">RIC-19597</t>
  </si>
  <si>
    <t xml:space="preserve">Cinghia dentata tipo A 30 mm</t>
  </si>
  <si>
    <t xml:space="preserve">RIC-19604</t>
  </si>
  <si>
    <t xml:space="preserve">Sensore induttivo rinforzato 58 mm</t>
  </si>
  <si>
    <t xml:space="preserve">RIC-19611</t>
  </si>
  <si>
    <t xml:space="preserve">Elettrovalvola tipo B 51 mm</t>
  </si>
  <si>
    <t xml:space="preserve">RIC-19618</t>
  </si>
  <si>
    <t xml:space="preserve">Guarnizione rinforzato 28 mm</t>
  </si>
  <si>
    <t xml:space="preserve">S1-E27</t>
  </si>
  <si>
    <t xml:space="preserve">RIC-19625</t>
  </si>
  <si>
    <t xml:space="preserve">RIC-19632</t>
  </si>
  <si>
    <t xml:space="preserve">Fotocellula inox 94 mm</t>
  </si>
  <si>
    <t xml:space="preserve">S4-D29</t>
  </si>
  <si>
    <t xml:space="preserve">RIC-19639</t>
  </si>
  <si>
    <t xml:space="preserve">Encoder inox 81 mm</t>
  </si>
  <si>
    <t xml:space="preserve">RIC-19646</t>
  </si>
  <si>
    <t xml:space="preserve">RIC-19653</t>
  </si>
  <si>
    <t xml:space="preserve">Rullo trasportatore tipo B 83 mm</t>
  </si>
  <si>
    <t xml:space="preserve">S5-A29</t>
  </si>
  <si>
    <t xml:space="preserve">RIC-19660</t>
  </si>
  <si>
    <t xml:space="preserve">RIC-19667</t>
  </si>
  <si>
    <t xml:space="preserve">S5-D19</t>
  </si>
  <si>
    <t xml:space="preserve">RIC-19674</t>
  </si>
  <si>
    <t xml:space="preserve">S7-D04</t>
  </si>
  <si>
    <t xml:space="preserve">RIC-19681</t>
  </si>
  <si>
    <t xml:space="preserve">Elettrovalvola tipo B 30 mm</t>
  </si>
  <si>
    <t xml:space="preserve">S3-C05</t>
  </si>
  <si>
    <t xml:space="preserve">RIC-19688</t>
  </si>
  <si>
    <t xml:space="preserve">S3-B08</t>
  </si>
  <si>
    <t xml:space="preserve">RIC-19695</t>
  </si>
  <si>
    <t xml:space="preserve">Motoriduttore inox 19 mm</t>
  </si>
  <si>
    <t xml:space="preserve">RIC-19702</t>
  </si>
  <si>
    <t xml:space="preserve">Fotocellula tipo A 38 mm</t>
  </si>
  <si>
    <t xml:space="preserve">RIC-19709</t>
  </si>
  <si>
    <t xml:space="preserve">Encoder tipo A 83 mm</t>
  </si>
  <si>
    <t xml:space="preserve">RIC-19716</t>
  </si>
  <si>
    <t xml:space="preserve">Lama di taglio inox 77 mm</t>
  </si>
  <si>
    <t xml:space="preserve">S6-C24</t>
  </si>
  <si>
    <t xml:space="preserve">RIC-19723</t>
  </si>
  <si>
    <t xml:space="preserve">RIC-19730</t>
  </si>
  <si>
    <t xml:space="preserve">Cuscinetto rinforzato 36 mm</t>
  </si>
  <si>
    <t xml:space="preserve">S4-B19</t>
  </si>
  <si>
    <t xml:space="preserve">RIC-19737</t>
  </si>
  <si>
    <t xml:space="preserve">S8-B24</t>
  </si>
  <si>
    <t xml:space="preserve">RIC-19744</t>
  </si>
  <si>
    <t xml:space="preserve">Sensore induttivo inox 64 mm</t>
  </si>
  <si>
    <t xml:space="preserve">S7-F09</t>
  </si>
  <si>
    <t xml:space="preserve">RIC-19751</t>
  </si>
  <si>
    <t xml:space="preserve">Elettrovalvola inox 43 mm</t>
  </si>
  <si>
    <t xml:space="preserve">S8-F02</t>
  </si>
  <si>
    <t xml:space="preserve">RIC-19758</t>
  </si>
  <si>
    <t xml:space="preserve">RIC-19765</t>
  </si>
  <si>
    <t xml:space="preserve">RIC-19772</t>
  </si>
  <si>
    <t xml:space="preserve">RIC-19779</t>
  </si>
  <si>
    <t xml:space="preserve">Encoder rinforzato 59 mm</t>
  </si>
  <si>
    <t xml:space="preserve">S3-D01</t>
  </si>
  <si>
    <t xml:space="preserve">RIC-19786</t>
  </si>
  <si>
    <t xml:space="preserve">S5-B12</t>
  </si>
  <si>
    <t xml:space="preserve">RIC-19793</t>
  </si>
  <si>
    <t xml:space="preserve">S8-E26</t>
  </si>
  <si>
    <t xml:space="preserve">RIC-19800</t>
  </si>
  <si>
    <t xml:space="preserve">RIC-19807</t>
  </si>
  <si>
    <t xml:space="preserve">S8-E19</t>
  </si>
  <si>
    <t xml:space="preserve">RIC-19814</t>
  </si>
  <si>
    <t xml:space="preserve">RIC-19821</t>
  </si>
  <si>
    <t xml:space="preserve">RIC-19828</t>
  </si>
  <si>
    <t xml:space="preserve">Guarnizione inox 74 mm</t>
  </si>
  <si>
    <t xml:space="preserve">RIC-19835</t>
  </si>
  <si>
    <t xml:space="preserve">Motoriduttore tipo B 72 mm</t>
  </si>
  <si>
    <t xml:space="preserve">RIC-19842</t>
  </si>
  <si>
    <t xml:space="preserve">RIC-19849</t>
  </si>
  <si>
    <t xml:space="preserve">Encoder tipo A 25 mm</t>
  </si>
  <si>
    <t xml:space="preserve">RIC-19856</t>
  </si>
  <si>
    <t xml:space="preserve">S8-C09</t>
  </si>
  <si>
    <t xml:space="preserve">RIC-19863</t>
  </si>
  <si>
    <t xml:space="preserve">Rullo trasportatore inox 26 mm</t>
  </si>
  <si>
    <t xml:space="preserve">RIC-19870</t>
  </si>
  <si>
    <t xml:space="preserve">RIC-19877</t>
  </si>
  <si>
    <t xml:space="preserve">Cinghia dentata tipo A 23 mm</t>
  </si>
  <si>
    <t xml:space="preserve">RIC-19884</t>
  </si>
  <si>
    <t xml:space="preserve">Sensore induttivo rinforzato 23 mm</t>
  </si>
  <si>
    <t xml:space="preserve">S5-E28</t>
  </si>
  <si>
    <t xml:space="preserve">RIC-19891</t>
  </si>
  <si>
    <t xml:space="preserve">RIC-19898</t>
  </si>
  <si>
    <t xml:space="preserve">RIC-19905</t>
  </si>
  <si>
    <t xml:space="preserve">Motoriduttore rinforzato 49 mm</t>
  </si>
  <si>
    <t xml:space="preserve">RIC-19912</t>
  </si>
  <si>
    <t xml:space="preserve">Fotocellula tipo B 59 mm</t>
  </si>
  <si>
    <t xml:space="preserve">S5-D05</t>
  </si>
  <si>
    <t xml:space="preserve">RIC-19919</t>
  </si>
  <si>
    <t xml:space="preserve">Encoder tipo B 41 mm</t>
  </si>
  <si>
    <t xml:space="preserve">RIC-19926</t>
  </si>
  <si>
    <t xml:space="preserve">Lama di taglio inox 51 mm</t>
  </si>
  <si>
    <t xml:space="preserve">S7-B06</t>
  </si>
  <si>
    <t xml:space="preserve">RIC-19933</t>
  </si>
  <si>
    <t xml:space="preserve">RIC-19940</t>
  </si>
  <si>
    <t xml:space="preserve">Cuscinetto inox 30 mm</t>
  </si>
  <si>
    <t xml:space="preserve">S4-F29</t>
  </si>
  <si>
    <t xml:space="preserve">RIC-19947</t>
  </si>
  <si>
    <t xml:space="preserve">RIC-19954</t>
  </si>
  <si>
    <t xml:space="preserve">Sensore induttivo rinforzato 22 mm</t>
  </si>
  <si>
    <t xml:space="preserve">RIC-19961</t>
  </si>
  <si>
    <t xml:space="preserve">Elettrovalvola tipo A 70 mm</t>
  </si>
  <si>
    <t xml:space="preserve">RIC-19968</t>
  </si>
  <si>
    <t xml:space="preserve">RIC-19975</t>
  </si>
  <si>
    <t xml:space="preserve">Motoriduttore rinforzato 86 mm</t>
  </si>
  <si>
    <t xml:space="preserve">RIC-19982</t>
  </si>
  <si>
    <t xml:space="preserve">Fotocellula inox 41 mm</t>
  </si>
  <si>
    <t xml:space="preserve">S8-A07</t>
  </si>
  <si>
    <t xml:space="preserve">RIC-19989</t>
  </si>
  <si>
    <t xml:space="preserve">Encoder tipo A 88 mm</t>
  </si>
  <si>
    <t xml:space="preserve">RIC-19996</t>
  </si>
  <si>
    <t xml:space="preserve">S3-C19</t>
  </si>
  <si>
    <t xml:space="preserve">RIC-20003</t>
  </si>
  <si>
    <t xml:space="preserve">Rullo trasportatore tipo A 22 mm</t>
  </si>
  <si>
    <t xml:space="preserve">RIC-20010</t>
  </si>
  <si>
    <t xml:space="preserve">Cuscinetto tipo B 87 mm</t>
  </si>
  <si>
    <t xml:space="preserve">RIC-20017</t>
  </si>
  <si>
    <t xml:space="preserve">Cinghia dentata tipo A 24 mm</t>
  </si>
  <si>
    <t xml:space="preserve">RIC-20024</t>
  </si>
  <si>
    <t xml:space="preserve">RIC-20031</t>
  </si>
  <si>
    <t xml:space="preserve">Elettrovalvola inox 55 mm</t>
  </si>
  <si>
    <t xml:space="preserve">RIC-20038</t>
  </si>
  <si>
    <t xml:space="preserve">Guarnizione tipo A 82 mm</t>
  </si>
  <si>
    <t xml:space="preserve">RIC-20045</t>
  </si>
  <si>
    <t xml:space="preserve">RIC-20052</t>
  </si>
  <si>
    <t xml:space="preserve">Fotocellula tipo A 84 mm</t>
  </si>
  <si>
    <t xml:space="preserve">RIC-20059</t>
  </si>
  <si>
    <t xml:space="preserve">Encoder tipo A 74 mm</t>
  </si>
  <si>
    <t xml:space="preserve">RIC-20066</t>
  </si>
  <si>
    <t xml:space="preserve">S2-C04</t>
  </si>
  <si>
    <t xml:space="preserve">RIC-20073</t>
  </si>
  <si>
    <t xml:space="preserve">Rullo trasportatore tipo A 78 mm</t>
  </si>
  <si>
    <t xml:space="preserve">RIC-20080</t>
  </si>
  <si>
    <t xml:space="preserve">Cuscinetto tipo B 55 mm</t>
  </si>
  <si>
    <t xml:space="preserve">S6-C05</t>
  </si>
  <si>
    <t xml:space="preserve">RIC-20087</t>
  </si>
  <si>
    <t xml:space="preserve">Cinghia dentata rinforzato 41 mm</t>
  </si>
  <si>
    <t xml:space="preserve">RIC-20094</t>
  </si>
  <si>
    <t xml:space="preserve">Sensore induttivo tipo A 13 mm</t>
  </si>
  <si>
    <t xml:space="preserve">RIC-20101</t>
  </si>
  <si>
    <t xml:space="preserve">RIC-20108</t>
  </si>
  <si>
    <t xml:space="preserve">S2-A07</t>
  </si>
  <si>
    <t xml:space="preserve">RIC-20115</t>
  </si>
  <si>
    <t xml:space="preserve">RIC-20122</t>
  </si>
  <si>
    <t xml:space="preserve">S6-C02</t>
  </si>
  <si>
    <t xml:space="preserve">RIC-20129</t>
  </si>
  <si>
    <t xml:space="preserve">RIC-20136</t>
  </si>
  <si>
    <t xml:space="preserve">Lama di taglio tipo A 75 mm</t>
  </si>
  <si>
    <t xml:space="preserve">RIC-20143</t>
  </si>
  <si>
    <t xml:space="preserve">Rullo trasportatore tipo A 60 mm</t>
  </si>
  <si>
    <t xml:space="preserve">RIC-20150</t>
  </si>
  <si>
    <t xml:space="preserve">Cuscinetto tipo A 93 mm</t>
  </si>
  <si>
    <t xml:space="preserve">RIC-20157</t>
  </si>
  <si>
    <t xml:space="preserve">Cinghia dentata tipo A 87 mm</t>
  </si>
  <si>
    <t xml:space="preserve">RIC-20164</t>
  </si>
  <si>
    <t xml:space="preserve">Sensore induttivo tipo B 34 mm</t>
  </si>
  <si>
    <t xml:space="preserve">RIC-20171</t>
  </si>
  <si>
    <t xml:space="preserve">RIC-20178</t>
  </si>
  <si>
    <t xml:space="preserve">RIC-20185</t>
  </si>
  <si>
    <t xml:space="preserve">Motoriduttore inox 23 mm</t>
  </si>
  <si>
    <t xml:space="preserve">RIC-20192</t>
  </si>
  <si>
    <t xml:space="preserve">Fotocellula inox 15 mm</t>
  </si>
  <si>
    <t xml:space="preserve">S4-B25</t>
  </si>
  <si>
    <t xml:space="preserve">RIC-20199</t>
  </si>
  <si>
    <t xml:space="preserve">Encoder inox 56 mm</t>
  </si>
  <si>
    <t xml:space="preserve">RIC-20206</t>
  </si>
  <si>
    <t xml:space="preserve">Lama di taglio tipo B 73 mm</t>
  </si>
  <si>
    <t xml:space="preserve">RIC-20213</t>
  </si>
  <si>
    <t xml:space="preserve">Rullo trasportatore inox 82 mm</t>
  </si>
  <si>
    <t xml:space="preserve">S5-D10</t>
  </si>
  <si>
    <t xml:space="preserve">RIC-20220</t>
  </si>
  <si>
    <t xml:space="preserve">Cuscinetto tipo B 30 mm</t>
  </si>
  <si>
    <t xml:space="preserve">RIC-20227</t>
  </si>
  <si>
    <t xml:space="preserve">Cinghia dentata tipo A 44 mm</t>
  </si>
  <si>
    <t xml:space="preserve">S8-A09</t>
  </si>
  <si>
    <t xml:space="preserve">RIC-20234</t>
  </si>
  <si>
    <t xml:space="preserve">RIC-20241</t>
  </si>
  <si>
    <t xml:space="preserve">Elettrovalvola tipo A 89 mm</t>
  </si>
  <si>
    <t xml:space="preserve">RIC-20248</t>
  </si>
  <si>
    <t xml:space="preserve">Guarnizione tipo B 19 mm</t>
  </si>
  <si>
    <t xml:space="preserve">RIC-20255</t>
  </si>
  <si>
    <t xml:space="preserve">Motoriduttore tipo A 82 mm</t>
  </si>
  <si>
    <t xml:space="preserve">S8-D05</t>
  </si>
  <si>
    <t xml:space="preserve">RIC-20262</t>
  </si>
  <si>
    <t xml:space="preserve">Fotocellula tipo A 96 mm</t>
  </si>
  <si>
    <t xml:space="preserve">RIC-20269</t>
  </si>
  <si>
    <t xml:space="preserve">Encoder tipo A 93 mm</t>
  </si>
  <si>
    <t xml:space="preserve">S6-B16</t>
  </si>
  <si>
    <t xml:space="preserve">RIC-20276</t>
  </si>
  <si>
    <t xml:space="preserve">Lama di taglio rinforzato 66 mm</t>
  </si>
  <si>
    <t xml:space="preserve">RIC-20283</t>
  </si>
  <si>
    <t xml:space="preserve">Rullo trasportatore rinforzato 79 mm</t>
  </si>
  <si>
    <t xml:space="preserve">RIC-20290</t>
  </si>
  <si>
    <t xml:space="preserve">RIC-20297</t>
  </si>
  <si>
    <t xml:space="preserve">Cinghia dentata inox 79 mm</t>
  </si>
  <si>
    <t xml:space="preserve">S8-A02</t>
  </si>
  <si>
    <t xml:space="preserve">RIC-20304</t>
  </si>
  <si>
    <t xml:space="preserve">Sensore induttivo tipo B 78 mm</t>
  </si>
  <si>
    <t xml:space="preserve">RIC-20311</t>
  </si>
  <si>
    <t xml:space="preserve">Elettrovalvola tipo A 53 mm</t>
  </si>
  <si>
    <t xml:space="preserve">S1-E29</t>
  </si>
  <si>
    <t xml:space="preserve">RIC-20318</t>
  </si>
  <si>
    <t xml:space="preserve">Guarnizione rinforzato 87 mm</t>
  </si>
  <si>
    <t xml:space="preserve">S4-A04</t>
  </si>
  <si>
    <t xml:space="preserve">RIC-20325</t>
  </si>
  <si>
    <t xml:space="preserve">Motoriduttore tipo A 79 mm</t>
  </si>
  <si>
    <t xml:space="preserve">RIC-20332</t>
  </si>
  <si>
    <t xml:space="preserve">Fotocellula rinforzato 16 mm</t>
  </si>
  <si>
    <t xml:space="preserve">RIC-20339</t>
  </si>
  <si>
    <t xml:space="preserve">Encoder inox 64 mm</t>
  </si>
  <si>
    <t xml:space="preserve">RIC-20346</t>
  </si>
  <si>
    <t xml:space="preserve">RIC-20353</t>
  </si>
  <si>
    <t xml:space="preserve">S2-B29</t>
  </si>
  <si>
    <t xml:space="preserve">RIC-20360</t>
  </si>
  <si>
    <t xml:space="preserve">RIC-20367</t>
  </si>
  <si>
    <t xml:space="preserve">Cinghia dentata rinforzato 81 mm</t>
  </si>
  <si>
    <t xml:space="preserve">S3-B25</t>
  </si>
  <si>
    <t xml:space="preserve">RIC-20374</t>
  </si>
  <si>
    <t xml:space="preserve">RIC-20381</t>
  </si>
  <si>
    <t xml:space="preserve">RIC-20388</t>
  </si>
  <si>
    <t xml:space="preserve">Guarnizione rinforzato 71 mm</t>
  </si>
  <si>
    <t xml:space="preserve">RIC-20395</t>
  </si>
  <si>
    <t xml:space="preserve">S3-C13</t>
  </si>
  <si>
    <t xml:space="preserve">RIC-20402</t>
  </si>
  <si>
    <t xml:space="preserve">S8-E15</t>
  </si>
  <si>
    <t xml:space="preserve">RIC-20409</t>
  </si>
  <si>
    <t xml:space="preserve">RIC-20416</t>
  </si>
  <si>
    <t xml:space="preserve">RIC-20423</t>
  </si>
  <si>
    <t xml:space="preserve">S3-C17</t>
  </si>
  <si>
    <t xml:space="preserve">RIC-20430</t>
  </si>
  <si>
    <t xml:space="preserve">Cuscinetto inox 65 mm</t>
  </si>
  <si>
    <t xml:space="preserve">RIC-20437</t>
  </si>
  <si>
    <t xml:space="preserve">Cinghia dentata rinforzato 17 mm</t>
  </si>
  <si>
    <t xml:space="preserve">S4-F05</t>
  </si>
  <si>
    <t xml:space="preserve">RIC-20444</t>
  </si>
  <si>
    <t xml:space="preserve">RIC-20451</t>
  </si>
  <si>
    <t xml:space="preserve">RIC-20458</t>
  </si>
  <si>
    <t xml:space="preserve">Guarnizione tipo A 45 mm</t>
  </si>
  <si>
    <t xml:space="preserve">S8-D21</t>
  </si>
  <si>
    <t xml:space="preserve">RIC-20465</t>
  </si>
  <si>
    <t xml:space="preserve">Motoriduttore rinforzato 38 mm</t>
  </si>
  <si>
    <t xml:space="preserve">RIC-20472</t>
  </si>
  <si>
    <t xml:space="preserve">Fotocellula inox 63 mm</t>
  </si>
  <si>
    <t xml:space="preserve">RIC-20479</t>
  </si>
  <si>
    <t xml:space="preserve">RIC-20486</t>
  </si>
  <si>
    <t xml:space="preserve">Lama di taglio tipo B 41 mm</t>
  </si>
  <si>
    <t xml:space="preserve">S3-D05</t>
  </si>
  <si>
    <t xml:space="preserve">RIC-20493</t>
  </si>
  <si>
    <t xml:space="preserve">Città</t>
  </si>
  <si>
    <t xml:space="preserve">Meccanica Bassi S.r.l.</t>
  </si>
  <si>
    <t xml:space="preserve">Brescia</t>
  </si>
  <si>
    <t xml:space="preserve">Rulmeca Italia</t>
  </si>
  <si>
    <t xml:space="preserve">Bergamo</t>
  </si>
  <si>
    <t xml:space="preserve">Elettrotecnica Ferri</t>
  </si>
  <si>
    <t xml:space="preserve">Torino</t>
  </si>
  <si>
    <t xml:space="preserve">Pneumax Service</t>
  </si>
  <si>
    <t xml:space="preserve">Lurano</t>
  </si>
  <si>
    <t xml:space="preserve">Guarnizioni Alpi</t>
  </si>
  <si>
    <t xml:space="preserve">Cuneo</t>
  </si>
  <si>
    <t xml:space="preserve">Articoli sotto scorta minima</t>
  </si>
  <si>
    <t xml:space="preserve">Lead time medio per fornitore (giorni)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</si>
</sst>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s">
        <v>10</v>
      </c>
      <c r="D2" s="2" t="s">
        <v>11</v>
      </c>
      <c r="E2" s="0" t="str">
        <f aca="false">VLOOKUP(D2,Fornitori!$A$2:$C$6,2,FALSE())</f>
        <v>Meccanica Bassi S.r.l.</v>
      </c>
      <c r="F2" s="0" t="n">
        <v>4</v>
      </c>
      <c r="G2" s="0" t="n">
        <v>22</v>
      </c>
      <c r="H2" s="0" t="str">
        <f aca="false">IF(F2&lt;G2,"SI","NO")</f>
        <v>SI</v>
      </c>
    </row>
    <row r="3" customFormat="false" ht="15" hidden="false" customHeight="false" outlineLevel="0" collapsed="false">
      <c r="A3" s="0" t="s">
        <v>12</v>
      </c>
      <c r="B3" s="0" t="s">
        <v>13</v>
      </c>
      <c r="C3" s="0" t="s">
        <v>14</v>
      </c>
      <c r="D3" s="2" t="s">
        <v>15</v>
      </c>
      <c r="E3" s="0" t="str">
        <f aca="false">VLOOKUP(D3,Fornitori!$A$2:$C$6,2,FALSE())</f>
        <v>Rulmeca Italia</v>
      </c>
      <c r="F3" s="0" t="n">
        <v>2</v>
      </c>
      <c r="G3" s="0" t="n">
        <v>7</v>
      </c>
      <c r="H3" s="0" t="str">
        <f aca="false">IF(F3&lt;G3,"SI","NO")</f>
        <v>SI</v>
      </c>
    </row>
    <row r="4" customFormat="false" ht="15" hidden="false" customHeight="false" outlineLevel="0" collapsed="false">
      <c r="A4" s="0" t="s">
        <v>16</v>
      </c>
      <c r="B4" s="0" t="s">
        <v>17</v>
      </c>
      <c r="C4" s="0" t="s">
        <v>18</v>
      </c>
      <c r="D4" s="2" t="s">
        <v>19</v>
      </c>
      <c r="E4" s="0" t="str">
        <f aca="false">VLOOKUP(D4,Fornitori!$A$2:$C$6,2,FALSE())</f>
        <v>Elettrotecnica Ferri</v>
      </c>
      <c r="F4" s="0" t="n">
        <v>35</v>
      </c>
      <c r="G4" s="0" t="n">
        <v>18</v>
      </c>
      <c r="H4" s="0" t="str">
        <f aca="false">IF(F4&lt;G4,"SI","NO")</f>
        <v>NO</v>
      </c>
    </row>
    <row r="5" customFormat="false" ht="15" hidden="false" customHeight="false" outlineLevel="0" collapsed="false">
      <c r="A5" s="0" t="s">
        <v>20</v>
      </c>
      <c r="B5" s="0" t="s">
        <v>21</v>
      </c>
      <c r="C5" s="0" t="s">
        <v>22</v>
      </c>
      <c r="D5" s="2" t="s">
        <v>23</v>
      </c>
      <c r="E5" s="0" t="str">
        <f aca="false">VLOOKUP(D5,Fornitori!$A$2:$C$6,2,FALSE())</f>
        <v>Pneumax Service</v>
      </c>
      <c r="F5" s="0" t="n">
        <v>40</v>
      </c>
      <c r="G5" s="0" t="n">
        <v>23</v>
      </c>
      <c r="H5" s="0" t="str">
        <f aca="false">IF(F5&lt;G5,"SI","NO")</f>
        <v>NO</v>
      </c>
    </row>
    <row r="6" customFormat="false" ht="15" hidden="false" customHeight="false" outlineLevel="0" collapsed="false">
      <c r="A6" s="0" t="s">
        <v>24</v>
      </c>
      <c r="B6" s="0" t="s">
        <v>25</v>
      </c>
      <c r="C6" s="0" t="s">
        <v>26</v>
      </c>
      <c r="D6" s="2" t="s">
        <v>27</v>
      </c>
      <c r="E6" s="0" t="str">
        <f aca="false">VLOOKUP(D6,Fornitori!$A$2:$C$6,2,FALSE())</f>
        <v>Guarnizioni Alpi</v>
      </c>
      <c r="F6" s="0" t="n">
        <v>2</v>
      </c>
      <c r="G6" s="0" t="n">
        <v>22</v>
      </c>
      <c r="H6" s="0" t="str">
        <f aca="false">IF(F6&lt;G6,"SI","NO")</f>
        <v>SI</v>
      </c>
    </row>
    <row r="7" customFormat="false" ht="15" hidden="false" customHeight="false" outlineLevel="0" collapsed="false">
      <c r="A7" s="0" t="s">
        <v>28</v>
      </c>
      <c r="B7" s="0" t="s">
        <v>29</v>
      </c>
      <c r="C7" s="0" t="s">
        <v>30</v>
      </c>
      <c r="D7" s="2" t="s">
        <v>11</v>
      </c>
      <c r="E7" s="0" t="str">
        <f aca="false">VLOOKUP(D7,Fornitori!$A$2:$C$6,2,FALSE())</f>
        <v>Meccanica Bassi S.r.l.</v>
      </c>
      <c r="F7" s="0" t="n">
        <v>7</v>
      </c>
      <c r="G7" s="0" t="n">
        <v>23</v>
      </c>
      <c r="H7" s="0" t="str">
        <f aca="false">IF(F7&lt;G7,"SI","NO")</f>
        <v>SI</v>
      </c>
    </row>
    <row r="8" customFormat="false" ht="15" hidden="false" customHeight="false" outlineLevel="0" collapsed="false">
      <c r="A8" s="0" t="s">
        <v>31</v>
      </c>
      <c r="B8" s="0" t="s">
        <v>32</v>
      </c>
      <c r="C8" s="0" t="s">
        <v>33</v>
      </c>
      <c r="D8" s="2" t="s">
        <v>15</v>
      </c>
      <c r="E8" s="0" t="str">
        <f aca="false">VLOOKUP(D8,Fornitori!$A$2:$C$6,2,FALSE())</f>
        <v>Rulmeca Italia</v>
      </c>
      <c r="F8" s="0" t="n">
        <v>36</v>
      </c>
      <c r="G8" s="0" t="n">
        <v>11</v>
      </c>
      <c r="H8" s="0" t="str">
        <f aca="false">IF(F8&lt;G8,"SI","NO")</f>
        <v>NO</v>
      </c>
    </row>
    <row r="9" customFormat="false" ht="15" hidden="false" customHeight="false" outlineLevel="0" collapsed="false">
      <c r="A9" s="0" t="s">
        <v>34</v>
      </c>
      <c r="B9" s="0" t="s">
        <v>35</v>
      </c>
      <c r="C9" s="0" t="s">
        <v>36</v>
      </c>
      <c r="D9" s="2" t="s">
        <v>19</v>
      </c>
      <c r="E9" s="0" t="str">
        <f aca="false">VLOOKUP(D9,Fornitori!$A$2:$C$6,2,FALSE())</f>
        <v>Elettrotecnica Ferri</v>
      </c>
      <c r="F9" s="0" t="n">
        <v>39</v>
      </c>
      <c r="G9" s="0" t="n">
        <v>11</v>
      </c>
      <c r="H9" s="0" t="str">
        <f aca="false">IF(F9&lt;G9,"SI","NO")</f>
        <v>NO</v>
      </c>
    </row>
    <row r="10" customFormat="false" ht="15" hidden="false" customHeight="false" outlineLevel="0" collapsed="false">
      <c r="A10" s="0" t="s">
        <v>37</v>
      </c>
      <c r="B10" s="0" t="s">
        <v>38</v>
      </c>
      <c r="C10" s="0" t="s">
        <v>39</v>
      </c>
      <c r="D10" s="2" t="s">
        <v>23</v>
      </c>
      <c r="E10" s="0" t="str">
        <f aca="false">VLOOKUP(D10,Fornitori!$A$2:$C$6,2,FALSE())</f>
        <v>Pneumax Service</v>
      </c>
      <c r="F10" s="0" t="n">
        <v>37</v>
      </c>
      <c r="G10" s="0" t="n">
        <v>19</v>
      </c>
      <c r="H10" s="0" t="str">
        <f aca="false">IF(F10&lt;G10,"SI","NO")</f>
        <v>NO</v>
      </c>
    </row>
    <row r="11" customFormat="false" ht="15" hidden="false" customHeight="false" outlineLevel="0" collapsed="false">
      <c r="A11" s="0" t="s">
        <v>40</v>
      </c>
      <c r="B11" s="0" t="s">
        <v>41</v>
      </c>
      <c r="C11" s="0" t="s">
        <v>42</v>
      </c>
      <c r="D11" s="2" t="s">
        <v>27</v>
      </c>
      <c r="E11" s="0" t="str">
        <f aca="false">VLOOKUP(D11,Fornitori!$A$2:$C$6,2,FALSE())</f>
        <v>Guarnizioni Alpi</v>
      </c>
      <c r="F11" s="0" t="n">
        <v>49</v>
      </c>
      <c r="G11" s="0" t="n">
        <v>12</v>
      </c>
      <c r="H11" s="0" t="str">
        <f aca="false">IF(F11&lt;G11,"SI","NO")</f>
        <v>NO</v>
      </c>
    </row>
    <row r="12" customFormat="false" ht="15" hidden="false" customHeight="false" outlineLevel="0" collapsed="false">
      <c r="A12" s="0" t="s">
        <v>43</v>
      </c>
      <c r="B12" s="0" t="s">
        <v>44</v>
      </c>
      <c r="C12" s="0" t="s">
        <v>45</v>
      </c>
      <c r="D12" s="2" t="s">
        <v>11</v>
      </c>
      <c r="E12" s="0" t="str">
        <f aca="false">VLOOKUP(D12,Fornitori!$A$2:$C$6,2,FALSE())</f>
        <v>Meccanica Bassi S.r.l.</v>
      </c>
      <c r="F12" s="0" t="n">
        <v>56</v>
      </c>
      <c r="G12" s="0" t="n">
        <v>15</v>
      </c>
      <c r="H12" s="0" t="str">
        <f aca="false">IF(F12&lt;G12,"SI","NO")</f>
        <v>NO</v>
      </c>
    </row>
    <row r="13" customFormat="false" ht="15" hidden="false" customHeight="false" outlineLevel="0" collapsed="false">
      <c r="A13" s="0" t="s">
        <v>46</v>
      </c>
      <c r="B13" s="0" t="s">
        <v>47</v>
      </c>
      <c r="C13" s="0" t="s">
        <v>48</v>
      </c>
      <c r="D13" s="2" t="s">
        <v>15</v>
      </c>
      <c r="E13" s="0" t="str">
        <f aca="false">VLOOKUP(D13,Fornitori!$A$2:$C$6,2,FALSE())</f>
        <v>Rulmeca Italia</v>
      </c>
      <c r="F13" s="0" t="n">
        <v>26</v>
      </c>
      <c r="G13" s="0" t="n">
        <v>10</v>
      </c>
      <c r="H13" s="0" t="str">
        <f aca="false">IF(F13&lt;G13,"SI","NO")</f>
        <v>NO</v>
      </c>
    </row>
    <row r="14" customFormat="false" ht="15" hidden="false" customHeight="false" outlineLevel="0" collapsed="false">
      <c r="A14" s="0" t="s">
        <v>49</v>
      </c>
      <c r="B14" s="0" t="s">
        <v>50</v>
      </c>
      <c r="C14" s="0" t="s">
        <v>51</v>
      </c>
      <c r="D14" s="2" t="s">
        <v>19</v>
      </c>
      <c r="E14" s="0" t="str">
        <f aca="false">VLOOKUP(D14,Fornitori!$A$2:$C$6,2,FALSE())</f>
        <v>Elettrotecnica Ferri</v>
      </c>
      <c r="F14" s="0" t="n">
        <v>42</v>
      </c>
      <c r="G14" s="0" t="n">
        <v>7</v>
      </c>
      <c r="H14" s="0" t="str">
        <f aca="false">IF(F14&lt;G14,"SI","NO")</f>
        <v>NO</v>
      </c>
    </row>
    <row r="15" customFormat="false" ht="15" hidden="false" customHeight="false" outlineLevel="0" collapsed="false">
      <c r="A15" s="0" t="s">
        <v>52</v>
      </c>
      <c r="B15" s="0" t="s">
        <v>53</v>
      </c>
      <c r="C15" s="0" t="s">
        <v>54</v>
      </c>
      <c r="D15" s="2" t="s">
        <v>23</v>
      </c>
      <c r="E15" s="0" t="str">
        <f aca="false">VLOOKUP(D15,Fornitori!$A$2:$C$6,2,FALSE())</f>
        <v>Pneumax Service</v>
      </c>
      <c r="F15" s="0" t="n">
        <v>37</v>
      </c>
      <c r="G15" s="0" t="n">
        <v>19</v>
      </c>
      <c r="H15" s="0" t="str">
        <f aca="false">IF(F15&lt;G15,"SI","NO")</f>
        <v>NO</v>
      </c>
    </row>
    <row r="16" customFormat="false" ht="15" hidden="false" customHeight="false" outlineLevel="0" collapsed="false">
      <c r="A16" s="0" t="s">
        <v>55</v>
      </c>
      <c r="B16" s="0" t="s">
        <v>56</v>
      </c>
      <c r="C16" s="0" t="s">
        <v>57</v>
      </c>
      <c r="D16" s="2" t="s">
        <v>27</v>
      </c>
      <c r="E16" s="0" t="str">
        <f aca="false">VLOOKUP(D16,Fornitori!$A$2:$C$6,2,FALSE())</f>
        <v>Guarnizioni Alpi</v>
      </c>
      <c r="F16" s="0" t="n">
        <v>42</v>
      </c>
      <c r="G16" s="0" t="n">
        <v>7</v>
      </c>
      <c r="H16" s="0" t="str">
        <f aca="false">IF(F16&lt;G16,"SI","NO")</f>
        <v>NO</v>
      </c>
    </row>
    <row r="17" customFormat="false" ht="15" hidden="false" customHeight="false" outlineLevel="0" collapsed="false">
      <c r="A17" s="0" t="s">
        <v>58</v>
      </c>
      <c r="B17" s="0" t="s">
        <v>59</v>
      </c>
      <c r="C17" s="0" t="s">
        <v>60</v>
      </c>
      <c r="D17" s="2" t="s">
        <v>11</v>
      </c>
      <c r="E17" s="0" t="str">
        <f aca="false">VLOOKUP(D17,Fornitori!$A$2:$C$6,2,FALSE())</f>
        <v>Meccanica Bassi S.r.l.</v>
      </c>
      <c r="F17" s="0" t="n">
        <v>24</v>
      </c>
      <c r="G17" s="0" t="n">
        <v>16</v>
      </c>
      <c r="H17" s="0" t="str">
        <f aca="false">IF(F17&lt;G17,"SI","NO")</f>
        <v>NO</v>
      </c>
    </row>
    <row r="18" customFormat="false" ht="15" hidden="false" customHeight="false" outlineLevel="0" collapsed="false">
      <c r="A18" s="0" t="s">
        <v>61</v>
      </c>
      <c r="B18" s="0" t="s">
        <v>62</v>
      </c>
      <c r="C18" s="0" t="s">
        <v>63</v>
      </c>
      <c r="D18" s="2" t="s">
        <v>15</v>
      </c>
      <c r="E18" s="0" t="str">
        <f aca="false">VLOOKUP(D18,Fornitori!$A$2:$C$6,2,FALSE())</f>
        <v>Rulmeca Italia</v>
      </c>
      <c r="F18" s="0" t="n">
        <v>7</v>
      </c>
      <c r="G18" s="0" t="n">
        <v>20</v>
      </c>
      <c r="H18" s="0" t="str">
        <f aca="false">IF(F18&lt;G18,"SI","NO")</f>
        <v>SI</v>
      </c>
    </row>
    <row r="19" customFormat="false" ht="15" hidden="false" customHeight="false" outlineLevel="0" collapsed="false">
      <c r="A19" s="0" t="s">
        <v>64</v>
      </c>
      <c r="B19" s="0" t="s">
        <v>65</v>
      </c>
      <c r="C19" s="0" t="s">
        <v>66</v>
      </c>
      <c r="D19" s="2" t="s">
        <v>19</v>
      </c>
      <c r="E19" s="0" t="str">
        <f aca="false">VLOOKUP(D19,Fornitori!$A$2:$C$6,2,FALSE())</f>
        <v>Elettrotecnica Ferri</v>
      </c>
      <c r="F19" s="0" t="n">
        <v>15</v>
      </c>
      <c r="G19" s="0" t="n">
        <v>17</v>
      </c>
      <c r="H19" s="0" t="str">
        <f aca="false">IF(F19&lt;G19,"SI","NO")</f>
        <v>SI</v>
      </c>
    </row>
    <row r="20" customFormat="false" ht="15" hidden="false" customHeight="false" outlineLevel="0" collapsed="false">
      <c r="A20" s="0" t="s">
        <v>67</v>
      </c>
      <c r="B20" s="0" t="s">
        <v>68</v>
      </c>
      <c r="C20" s="0" t="s">
        <v>69</v>
      </c>
      <c r="D20" s="2" t="s">
        <v>23</v>
      </c>
      <c r="E20" s="0" t="str">
        <f aca="false">VLOOKUP(D20,Fornitori!$A$2:$C$6,2,FALSE())</f>
        <v>Pneumax Service</v>
      </c>
      <c r="F20" s="0" t="n">
        <v>25</v>
      </c>
      <c r="G20" s="0" t="n">
        <v>22</v>
      </c>
      <c r="H20" s="0" t="str">
        <f aca="false">IF(F20&lt;G20,"SI","NO")</f>
        <v>NO</v>
      </c>
    </row>
    <row r="21" customFormat="false" ht="15" hidden="false" customHeight="false" outlineLevel="0" collapsed="false">
      <c r="A21" s="0" t="s">
        <v>70</v>
      </c>
      <c r="B21" s="0" t="s">
        <v>71</v>
      </c>
      <c r="C21" s="0" t="s">
        <v>72</v>
      </c>
      <c r="D21" s="2" t="s">
        <v>27</v>
      </c>
      <c r="E21" s="0" t="str">
        <f aca="false">VLOOKUP(D21,Fornitori!$A$2:$C$6,2,FALSE())</f>
        <v>Guarnizioni Alpi</v>
      </c>
      <c r="F21" s="0" t="n">
        <v>45</v>
      </c>
      <c r="G21" s="0" t="n">
        <v>18</v>
      </c>
      <c r="H21" s="0" t="str">
        <f aca="false">IF(F21&lt;G21,"SI","NO")</f>
        <v>NO</v>
      </c>
    </row>
    <row r="22" customFormat="false" ht="15" hidden="false" customHeight="false" outlineLevel="0" collapsed="false">
      <c r="A22" s="0" t="s">
        <v>73</v>
      </c>
      <c r="B22" s="0" t="s">
        <v>74</v>
      </c>
      <c r="C22" s="0" t="s">
        <v>75</v>
      </c>
      <c r="D22" s="2" t="s">
        <v>11</v>
      </c>
      <c r="E22" s="0" t="str">
        <f aca="false">VLOOKUP(D22,Fornitori!$A$2:$C$6,2,FALSE())</f>
        <v>Meccanica Bassi S.r.l.</v>
      </c>
      <c r="F22" s="0" t="n">
        <v>5</v>
      </c>
      <c r="G22" s="0" t="n">
        <v>10</v>
      </c>
      <c r="H22" s="0" t="str">
        <f aca="false">IF(F22&lt;G22,"SI","NO")</f>
        <v>SI</v>
      </c>
    </row>
    <row r="23" customFormat="false" ht="15" hidden="false" customHeight="false" outlineLevel="0" collapsed="false">
      <c r="A23" s="0" t="s">
        <v>76</v>
      </c>
      <c r="B23" s="0" t="s">
        <v>77</v>
      </c>
      <c r="C23" s="0" t="s">
        <v>78</v>
      </c>
      <c r="D23" s="2" t="s">
        <v>15</v>
      </c>
      <c r="E23" s="0" t="str">
        <f aca="false">VLOOKUP(D23,Fornitori!$A$2:$C$6,2,FALSE())</f>
        <v>Rulmeca Italia</v>
      </c>
      <c r="F23" s="0" t="n">
        <v>53</v>
      </c>
      <c r="G23" s="0" t="n">
        <v>23</v>
      </c>
      <c r="H23" s="0" t="str">
        <f aca="false">IF(F23&lt;G23,"SI","NO")</f>
        <v>NO</v>
      </c>
    </row>
    <row r="24" customFormat="false" ht="15" hidden="false" customHeight="false" outlineLevel="0" collapsed="false">
      <c r="A24" s="0" t="s">
        <v>79</v>
      </c>
      <c r="B24" s="0" t="s">
        <v>80</v>
      </c>
      <c r="C24" s="0" t="s">
        <v>81</v>
      </c>
      <c r="D24" s="2" t="s">
        <v>19</v>
      </c>
      <c r="E24" s="0" t="str">
        <f aca="false">VLOOKUP(D24,Fornitori!$A$2:$C$6,2,FALSE())</f>
        <v>Elettrotecnica Ferri</v>
      </c>
      <c r="F24" s="0" t="n">
        <v>26</v>
      </c>
      <c r="G24" s="0" t="n">
        <v>22</v>
      </c>
      <c r="H24" s="0" t="str">
        <f aca="false">IF(F24&lt;G24,"SI","NO")</f>
        <v>NO</v>
      </c>
    </row>
    <row r="25" customFormat="false" ht="15" hidden="false" customHeight="false" outlineLevel="0" collapsed="false">
      <c r="A25" s="0" t="s">
        <v>82</v>
      </c>
      <c r="B25" s="0" t="s">
        <v>83</v>
      </c>
      <c r="C25" s="0" t="s">
        <v>84</v>
      </c>
      <c r="D25" s="2" t="s">
        <v>23</v>
      </c>
      <c r="E25" s="0" t="str">
        <f aca="false">VLOOKUP(D25,Fornitori!$A$2:$C$6,2,FALSE())</f>
        <v>Pneumax Service</v>
      </c>
      <c r="F25" s="0" t="n">
        <v>54</v>
      </c>
      <c r="G25" s="0" t="n">
        <v>21</v>
      </c>
      <c r="H25" s="0" t="str">
        <f aca="false">IF(F25&lt;G25,"SI","NO")</f>
        <v>NO</v>
      </c>
    </row>
    <row r="26" customFormat="false" ht="15" hidden="false" customHeight="false" outlineLevel="0" collapsed="false">
      <c r="A26" s="0" t="s">
        <v>85</v>
      </c>
      <c r="B26" s="0" t="s">
        <v>86</v>
      </c>
      <c r="C26" s="0" t="s">
        <v>87</v>
      </c>
      <c r="D26" s="2" t="s">
        <v>27</v>
      </c>
      <c r="E26" s="0" t="str">
        <f aca="false">VLOOKUP(D26,Fornitori!$A$2:$C$6,2,FALSE())</f>
        <v>Guarnizioni Alpi</v>
      </c>
      <c r="F26" s="0" t="n">
        <v>25</v>
      </c>
      <c r="G26" s="0" t="n">
        <v>8</v>
      </c>
      <c r="H26" s="0" t="str">
        <f aca="false">IF(F26&lt;G26,"SI","NO")</f>
        <v>NO</v>
      </c>
    </row>
    <row r="27" customFormat="false" ht="15" hidden="false" customHeight="false" outlineLevel="0" collapsed="false">
      <c r="A27" s="0" t="s">
        <v>88</v>
      </c>
      <c r="B27" s="0" t="s">
        <v>89</v>
      </c>
      <c r="C27" s="0" t="s">
        <v>90</v>
      </c>
      <c r="D27" s="2" t="s">
        <v>11</v>
      </c>
      <c r="E27" s="0" t="str">
        <f aca="false">VLOOKUP(D27,Fornitori!$A$2:$C$6,2,FALSE())</f>
        <v>Meccanica Bassi S.r.l.</v>
      </c>
      <c r="F27" s="0" t="n">
        <v>4</v>
      </c>
      <c r="G27" s="0" t="n">
        <v>11</v>
      </c>
      <c r="H27" s="0" t="str">
        <f aca="false">IF(F27&lt;G27,"SI","NO")</f>
        <v>SI</v>
      </c>
    </row>
    <row r="28" customFormat="false" ht="15" hidden="false" customHeight="false" outlineLevel="0" collapsed="false">
      <c r="A28" s="0" t="s">
        <v>91</v>
      </c>
      <c r="B28" s="0" t="s">
        <v>92</v>
      </c>
      <c r="C28" s="0" t="s">
        <v>93</v>
      </c>
      <c r="D28" s="2" t="s">
        <v>15</v>
      </c>
      <c r="E28" s="0" t="str">
        <f aca="false">VLOOKUP(D28,Fornitori!$A$2:$C$6,2,FALSE())</f>
        <v>Rulmeca Italia</v>
      </c>
      <c r="F28" s="0" t="n">
        <v>3</v>
      </c>
      <c r="G28" s="0" t="n">
        <v>8</v>
      </c>
      <c r="H28" s="0" t="str">
        <f aca="false">IF(F28&lt;G28,"SI","NO")</f>
        <v>SI</v>
      </c>
    </row>
    <row r="29" customFormat="false" ht="15" hidden="false" customHeight="false" outlineLevel="0" collapsed="false">
      <c r="A29" s="0" t="s">
        <v>94</v>
      </c>
      <c r="B29" s="0" t="s">
        <v>95</v>
      </c>
      <c r="C29" s="0" t="s">
        <v>96</v>
      </c>
      <c r="D29" s="2" t="s">
        <v>19</v>
      </c>
      <c r="E29" s="0" t="str">
        <f aca="false">VLOOKUP(D29,Fornitori!$A$2:$C$6,2,FALSE())</f>
        <v>Elettrotecnica Ferri</v>
      </c>
      <c r="F29" s="0" t="n">
        <v>23</v>
      </c>
      <c r="G29" s="0" t="n">
        <v>24</v>
      </c>
      <c r="H29" s="0" t="str">
        <f aca="false">IF(F29&lt;G29,"SI","NO")</f>
        <v>SI</v>
      </c>
    </row>
    <row r="30" customFormat="false" ht="15" hidden="false" customHeight="false" outlineLevel="0" collapsed="false">
      <c r="A30" s="0" t="s">
        <v>97</v>
      </c>
      <c r="B30" s="0" t="s">
        <v>98</v>
      </c>
      <c r="C30" s="0" t="s">
        <v>99</v>
      </c>
      <c r="D30" s="2" t="s">
        <v>23</v>
      </c>
      <c r="E30" s="0" t="str">
        <f aca="false">VLOOKUP(D30,Fornitori!$A$2:$C$6,2,FALSE())</f>
        <v>Pneumax Service</v>
      </c>
      <c r="F30" s="0" t="n">
        <v>9</v>
      </c>
      <c r="G30" s="0" t="n">
        <v>13</v>
      </c>
      <c r="H30" s="0" t="str">
        <f aca="false">IF(F30&lt;G30,"SI","NO")</f>
        <v>SI</v>
      </c>
    </row>
    <row r="31" customFormat="false" ht="15" hidden="false" customHeight="false" outlineLevel="0" collapsed="false">
      <c r="A31" s="0" t="s">
        <v>100</v>
      </c>
      <c r="B31" s="0" t="s">
        <v>101</v>
      </c>
      <c r="C31" s="0" t="s">
        <v>102</v>
      </c>
      <c r="D31" s="2" t="s">
        <v>27</v>
      </c>
      <c r="E31" s="0" t="str">
        <f aca="false">VLOOKUP(D31,Fornitori!$A$2:$C$6,2,FALSE())</f>
        <v>Guarnizioni Alpi</v>
      </c>
      <c r="F31" s="0" t="n">
        <v>7</v>
      </c>
      <c r="G31" s="0" t="n">
        <v>20</v>
      </c>
      <c r="H31" s="0" t="str">
        <f aca="false">IF(F31&lt;G31,"SI","NO")</f>
        <v>SI</v>
      </c>
    </row>
    <row r="32" customFormat="false" ht="15" hidden="false" customHeight="false" outlineLevel="0" collapsed="false">
      <c r="A32" s="0" t="s">
        <v>103</v>
      </c>
      <c r="B32" s="0" t="s">
        <v>104</v>
      </c>
      <c r="C32" s="0" t="s">
        <v>105</v>
      </c>
      <c r="D32" s="2" t="s">
        <v>11</v>
      </c>
      <c r="E32" s="0" t="str">
        <f aca="false">VLOOKUP(D32,Fornitori!$A$2:$C$6,2,FALSE())</f>
        <v>Meccanica Bassi S.r.l.</v>
      </c>
      <c r="F32" s="0" t="n">
        <v>9</v>
      </c>
      <c r="G32" s="0" t="n">
        <v>8</v>
      </c>
      <c r="H32" s="0" t="str">
        <f aca="false">IF(F32&lt;G32,"SI","NO")</f>
        <v>NO</v>
      </c>
    </row>
    <row r="33" customFormat="false" ht="15" hidden="false" customHeight="false" outlineLevel="0" collapsed="false">
      <c r="A33" s="0" t="s">
        <v>106</v>
      </c>
      <c r="B33" s="0" t="s">
        <v>107</v>
      </c>
      <c r="C33" s="0" t="s">
        <v>108</v>
      </c>
      <c r="D33" s="2" t="s">
        <v>15</v>
      </c>
      <c r="E33" s="0" t="str">
        <f aca="false">VLOOKUP(D33,Fornitori!$A$2:$C$6,2,FALSE())</f>
        <v>Rulmeca Italia</v>
      </c>
      <c r="F33" s="0" t="n">
        <v>33</v>
      </c>
      <c r="G33" s="0" t="n">
        <v>5</v>
      </c>
      <c r="H33" s="0" t="str">
        <f aca="false">IF(F33&lt;G33,"SI","NO")</f>
        <v>NO</v>
      </c>
    </row>
    <row r="34" customFormat="false" ht="15" hidden="false" customHeight="false" outlineLevel="0" collapsed="false">
      <c r="A34" s="0" t="s">
        <v>109</v>
      </c>
      <c r="B34" s="0" t="s">
        <v>110</v>
      </c>
      <c r="C34" s="0" t="s">
        <v>84</v>
      </c>
      <c r="D34" s="2" t="s">
        <v>19</v>
      </c>
      <c r="E34" s="0" t="str">
        <f aca="false">VLOOKUP(D34,Fornitori!$A$2:$C$6,2,FALSE())</f>
        <v>Elettrotecnica Ferri</v>
      </c>
      <c r="F34" s="0" t="n">
        <v>34</v>
      </c>
      <c r="G34" s="0" t="n">
        <v>5</v>
      </c>
      <c r="H34" s="0" t="str">
        <f aca="false">IF(F34&lt;G34,"SI","NO")</f>
        <v>NO</v>
      </c>
    </row>
    <row r="35" customFormat="false" ht="15" hidden="false" customHeight="false" outlineLevel="0" collapsed="false">
      <c r="A35" s="0" t="s">
        <v>111</v>
      </c>
      <c r="B35" s="0" t="s">
        <v>112</v>
      </c>
      <c r="C35" s="0" t="s">
        <v>113</v>
      </c>
      <c r="D35" s="2" t="s">
        <v>23</v>
      </c>
      <c r="E35" s="0" t="str">
        <f aca="false">VLOOKUP(D35,Fornitori!$A$2:$C$6,2,FALSE())</f>
        <v>Pneumax Service</v>
      </c>
      <c r="F35" s="0" t="n">
        <v>16</v>
      </c>
      <c r="G35" s="0" t="n">
        <v>21</v>
      </c>
      <c r="H35" s="0" t="str">
        <f aca="false">IF(F35&lt;G35,"SI","NO")</f>
        <v>SI</v>
      </c>
    </row>
    <row r="36" customFormat="false" ht="15" hidden="false" customHeight="false" outlineLevel="0" collapsed="false">
      <c r="A36" s="0" t="s">
        <v>114</v>
      </c>
      <c r="B36" s="0" t="s">
        <v>115</v>
      </c>
      <c r="C36" s="0" t="s">
        <v>116</v>
      </c>
      <c r="D36" s="2" t="s">
        <v>27</v>
      </c>
      <c r="E36" s="0" t="str">
        <f aca="false">VLOOKUP(D36,Fornitori!$A$2:$C$6,2,FALSE())</f>
        <v>Guarnizioni Alpi</v>
      </c>
      <c r="F36" s="0" t="n">
        <v>34</v>
      </c>
      <c r="G36" s="0" t="n">
        <v>21</v>
      </c>
      <c r="H36" s="0" t="str">
        <f aca="false">IF(F36&lt;G36,"SI","NO")</f>
        <v>NO</v>
      </c>
    </row>
    <row r="37" customFormat="false" ht="15" hidden="false" customHeight="false" outlineLevel="0" collapsed="false">
      <c r="A37" s="0" t="s">
        <v>117</v>
      </c>
      <c r="B37" s="0" t="s">
        <v>118</v>
      </c>
      <c r="C37" s="0" t="s">
        <v>119</v>
      </c>
      <c r="D37" s="2" t="s">
        <v>11</v>
      </c>
      <c r="E37" s="0" t="str">
        <f aca="false">VLOOKUP(D37,Fornitori!$A$2:$C$6,2,FALSE())</f>
        <v>Meccanica Bassi S.r.l.</v>
      </c>
      <c r="F37" s="0" t="n">
        <v>50</v>
      </c>
      <c r="G37" s="0" t="n">
        <v>11</v>
      </c>
      <c r="H37" s="0" t="str">
        <f aca="false">IF(F37&lt;G37,"SI","NO")</f>
        <v>NO</v>
      </c>
    </row>
    <row r="38" customFormat="false" ht="15" hidden="false" customHeight="false" outlineLevel="0" collapsed="false">
      <c r="A38" s="0" t="s">
        <v>120</v>
      </c>
      <c r="B38" s="0" t="s">
        <v>121</v>
      </c>
      <c r="C38" s="0" t="s">
        <v>122</v>
      </c>
      <c r="D38" s="2" t="s">
        <v>15</v>
      </c>
      <c r="E38" s="0" t="str">
        <f aca="false">VLOOKUP(D38,Fornitori!$A$2:$C$6,2,FALSE())</f>
        <v>Rulmeca Italia</v>
      </c>
      <c r="F38" s="0" t="n">
        <v>31</v>
      </c>
      <c r="G38" s="0" t="n">
        <v>16</v>
      </c>
      <c r="H38" s="0" t="str">
        <f aca="false">IF(F38&lt;G38,"SI","NO")</f>
        <v>NO</v>
      </c>
    </row>
    <row r="39" customFormat="false" ht="15" hidden="false" customHeight="false" outlineLevel="0" collapsed="false">
      <c r="A39" s="0" t="s">
        <v>123</v>
      </c>
      <c r="B39" s="0" t="s">
        <v>124</v>
      </c>
      <c r="C39" s="0" t="s">
        <v>125</v>
      </c>
      <c r="D39" s="2" t="s">
        <v>19</v>
      </c>
      <c r="E39" s="0" t="str">
        <f aca="false">VLOOKUP(D39,Fornitori!$A$2:$C$6,2,FALSE())</f>
        <v>Elettrotecnica Ferri</v>
      </c>
      <c r="F39" s="0" t="n">
        <v>12</v>
      </c>
      <c r="G39" s="0" t="n">
        <v>24</v>
      </c>
      <c r="H39" s="0" t="str">
        <f aca="false">IF(F39&lt;G39,"SI","NO")</f>
        <v>SI</v>
      </c>
    </row>
    <row r="40" customFormat="false" ht="15" hidden="false" customHeight="false" outlineLevel="0" collapsed="false">
      <c r="A40" s="0" t="s">
        <v>126</v>
      </c>
      <c r="B40" s="0" t="s">
        <v>127</v>
      </c>
      <c r="C40" s="0" t="s">
        <v>128</v>
      </c>
      <c r="D40" s="2" t="s">
        <v>23</v>
      </c>
      <c r="E40" s="0" t="str">
        <f aca="false">VLOOKUP(D40,Fornitori!$A$2:$C$6,2,FALSE())</f>
        <v>Pneumax Service</v>
      </c>
      <c r="F40" s="0" t="n">
        <v>14</v>
      </c>
      <c r="G40" s="0" t="n">
        <v>8</v>
      </c>
      <c r="H40" s="0" t="str">
        <f aca="false">IF(F40&lt;G40,"SI","NO")</f>
        <v>NO</v>
      </c>
    </row>
    <row r="41" customFormat="false" ht="15" hidden="false" customHeight="false" outlineLevel="0" collapsed="false">
      <c r="A41" s="0" t="s">
        <v>129</v>
      </c>
      <c r="B41" s="0" t="s">
        <v>130</v>
      </c>
      <c r="C41" s="0" t="s">
        <v>131</v>
      </c>
      <c r="D41" s="2" t="s">
        <v>27</v>
      </c>
      <c r="E41" s="0" t="str">
        <f aca="false">VLOOKUP(D41,Fornitori!$A$2:$C$6,2,FALSE())</f>
        <v>Guarnizioni Alpi</v>
      </c>
      <c r="F41" s="0" t="n">
        <v>30</v>
      </c>
      <c r="G41" s="0" t="n">
        <v>24</v>
      </c>
      <c r="H41" s="0" t="str">
        <f aca="false">IF(F41&lt;G41,"SI","NO")</f>
        <v>NO</v>
      </c>
    </row>
    <row r="42" customFormat="false" ht="15" hidden="false" customHeight="false" outlineLevel="0" collapsed="false">
      <c r="A42" s="0" t="s">
        <v>132</v>
      </c>
      <c r="B42" s="0" t="s">
        <v>133</v>
      </c>
      <c r="C42" s="0" t="s">
        <v>134</v>
      </c>
      <c r="D42" s="2" t="s">
        <v>11</v>
      </c>
      <c r="E42" s="0" t="str">
        <f aca="false">VLOOKUP(D42,Fornitori!$A$2:$C$6,2,FALSE())</f>
        <v>Meccanica Bassi S.r.l.</v>
      </c>
      <c r="F42" s="0" t="n">
        <v>53</v>
      </c>
      <c r="G42" s="0" t="n">
        <v>8</v>
      </c>
      <c r="H42" s="0" t="str">
        <f aca="false">IF(F42&lt;G42,"SI","NO")</f>
        <v>NO</v>
      </c>
    </row>
    <row r="43" customFormat="false" ht="15" hidden="false" customHeight="false" outlineLevel="0" collapsed="false">
      <c r="A43" s="0" t="s">
        <v>135</v>
      </c>
      <c r="B43" s="0" t="s">
        <v>136</v>
      </c>
      <c r="C43" s="0" t="s">
        <v>137</v>
      </c>
      <c r="D43" s="2" t="s">
        <v>15</v>
      </c>
      <c r="E43" s="0" t="str">
        <f aca="false">VLOOKUP(D43,Fornitori!$A$2:$C$6,2,FALSE())</f>
        <v>Rulmeca Italia</v>
      </c>
      <c r="F43" s="0" t="n">
        <v>50</v>
      </c>
      <c r="G43" s="0" t="n">
        <v>15</v>
      </c>
      <c r="H43" s="0" t="str">
        <f aca="false">IF(F43&lt;G43,"SI","NO")</f>
        <v>NO</v>
      </c>
    </row>
    <row r="44" customFormat="false" ht="15" hidden="false" customHeight="false" outlineLevel="0" collapsed="false">
      <c r="A44" s="0" t="s">
        <v>138</v>
      </c>
      <c r="B44" s="0" t="s">
        <v>139</v>
      </c>
      <c r="C44" s="0" t="s">
        <v>140</v>
      </c>
      <c r="D44" s="2" t="s">
        <v>19</v>
      </c>
      <c r="E44" s="0" t="str">
        <f aca="false">VLOOKUP(D44,Fornitori!$A$2:$C$6,2,FALSE())</f>
        <v>Elettrotecnica Ferri</v>
      </c>
      <c r="F44" s="0" t="n">
        <v>5</v>
      </c>
      <c r="G44" s="0" t="n">
        <v>10</v>
      </c>
      <c r="H44" s="0" t="str">
        <f aca="false">IF(F44&lt;G44,"SI","NO")</f>
        <v>SI</v>
      </c>
    </row>
    <row r="45" customFormat="false" ht="15" hidden="false" customHeight="false" outlineLevel="0" collapsed="false">
      <c r="A45" s="0" t="s">
        <v>141</v>
      </c>
      <c r="B45" s="0" t="s">
        <v>142</v>
      </c>
      <c r="C45" s="0" t="s">
        <v>143</v>
      </c>
      <c r="D45" s="2" t="s">
        <v>23</v>
      </c>
      <c r="E45" s="0" t="str">
        <f aca="false">VLOOKUP(D45,Fornitori!$A$2:$C$6,2,FALSE())</f>
        <v>Pneumax Service</v>
      </c>
      <c r="F45" s="0" t="n">
        <v>57</v>
      </c>
      <c r="G45" s="0" t="n">
        <v>19</v>
      </c>
      <c r="H45" s="0" t="str">
        <f aca="false">IF(F45&lt;G45,"SI","NO")</f>
        <v>NO</v>
      </c>
    </row>
    <row r="46" customFormat="false" ht="15" hidden="false" customHeight="false" outlineLevel="0" collapsed="false">
      <c r="A46" s="0" t="s">
        <v>144</v>
      </c>
      <c r="B46" s="0" t="s">
        <v>145</v>
      </c>
      <c r="C46" s="0" t="s">
        <v>146</v>
      </c>
      <c r="D46" s="2" t="s">
        <v>27</v>
      </c>
      <c r="E46" s="0" t="str">
        <f aca="false">VLOOKUP(D46,Fornitori!$A$2:$C$6,2,FALSE())</f>
        <v>Guarnizioni Alpi</v>
      </c>
      <c r="F46" s="0" t="n">
        <v>9</v>
      </c>
      <c r="G46" s="0" t="n">
        <v>22</v>
      </c>
      <c r="H46" s="0" t="str">
        <f aca="false">IF(F46&lt;G46,"SI","NO")</f>
        <v>SI</v>
      </c>
    </row>
    <row r="47" customFormat="false" ht="15" hidden="false" customHeight="false" outlineLevel="0" collapsed="false">
      <c r="A47" s="0" t="s">
        <v>147</v>
      </c>
      <c r="B47" s="0" t="s">
        <v>148</v>
      </c>
      <c r="C47" s="0" t="s">
        <v>149</v>
      </c>
      <c r="D47" s="2" t="s">
        <v>11</v>
      </c>
      <c r="E47" s="0" t="str">
        <f aca="false">VLOOKUP(D47,Fornitori!$A$2:$C$6,2,FALSE())</f>
        <v>Meccanica Bassi S.r.l.</v>
      </c>
      <c r="F47" s="0" t="n">
        <v>6</v>
      </c>
      <c r="G47" s="0" t="n">
        <v>21</v>
      </c>
      <c r="H47" s="0" t="str">
        <f aca="false">IF(F47&lt;G47,"SI","NO")</f>
        <v>SI</v>
      </c>
    </row>
    <row r="48" customFormat="false" ht="15" hidden="false" customHeight="false" outlineLevel="0" collapsed="false">
      <c r="A48" s="0" t="s">
        <v>150</v>
      </c>
      <c r="B48" s="0" t="s">
        <v>151</v>
      </c>
      <c r="C48" s="0" t="s">
        <v>152</v>
      </c>
      <c r="D48" s="2" t="s">
        <v>15</v>
      </c>
      <c r="E48" s="0" t="str">
        <f aca="false">VLOOKUP(D48,Fornitori!$A$2:$C$6,2,FALSE())</f>
        <v>Rulmeca Italia</v>
      </c>
      <c r="F48" s="0" t="n">
        <v>16</v>
      </c>
      <c r="G48" s="0" t="n">
        <v>11</v>
      </c>
      <c r="H48" s="0" t="str">
        <f aca="false">IF(F48&lt;G48,"SI","NO")</f>
        <v>NO</v>
      </c>
    </row>
    <row r="49" customFormat="false" ht="15" hidden="false" customHeight="false" outlineLevel="0" collapsed="false">
      <c r="A49" s="0" t="s">
        <v>153</v>
      </c>
      <c r="B49" s="0" t="s">
        <v>154</v>
      </c>
      <c r="C49" s="0" t="s">
        <v>155</v>
      </c>
      <c r="D49" s="2" t="s">
        <v>19</v>
      </c>
      <c r="E49" s="0" t="str">
        <f aca="false">VLOOKUP(D49,Fornitori!$A$2:$C$6,2,FALSE())</f>
        <v>Elettrotecnica Ferri</v>
      </c>
      <c r="F49" s="0" t="n">
        <v>16</v>
      </c>
      <c r="G49" s="0" t="n">
        <v>22</v>
      </c>
      <c r="H49" s="0" t="str">
        <f aca="false">IF(F49&lt;G49,"SI","NO")</f>
        <v>SI</v>
      </c>
    </row>
    <row r="50" customFormat="false" ht="15" hidden="false" customHeight="false" outlineLevel="0" collapsed="false">
      <c r="A50" s="0" t="s">
        <v>156</v>
      </c>
      <c r="B50" s="0" t="s">
        <v>157</v>
      </c>
      <c r="C50" s="0" t="s">
        <v>158</v>
      </c>
      <c r="D50" s="2" t="s">
        <v>23</v>
      </c>
      <c r="E50" s="0" t="str">
        <f aca="false">VLOOKUP(D50,Fornitori!$A$2:$C$6,2,FALSE())</f>
        <v>Pneumax Service</v>
      </c>
      <c r="F50" s="0" t="n">
        <v>57</v>
      </c>
      <c r="G50" s="0" t="n">
        <v>19</v>
      </c>
      <c r="H50" s="0" t="str">
        <f aca="false">IF(F50&lt;G50,"SI","NO")</f>
        <v>NO</v>
      </c>
    </row>
    <row r="51" customFormat="false" ht="15" hidden="false" customHeight="false" outlineLevel="0" collapsed="false">
      <c r="A51" s="0" t="s">
        <v>159</v>
      </c>
      <c r="B51" s="0" t="s">
        <v>160</v>
      </c>
      <c r="C51" s="0" t="s">
        <v>161</v>
      </c>
      <c r="D51" s="2" t="s">
        <v>27</v>
      </c>
      <c r="E51" s="0" t="str">
        <f aca="false">VLOOKUP(D51,Fornitori!$A$2:$C$6,2,FALSE())</f>
        <v>Guarnizioni Alpi</v>
      </c>
      <c r="F51" s="0" t="n">
        <v>33</v>
      </c>
      <c r="G51" s="0" t="n">
        <v>21</v>
      </c>
      <c r="H51" s="0" t="str">
        <f aca="false">IF(F51&lt;G51,"SI","NO")</f>
        <v>NO</v>
      </c>
    </row>
    <row r="52" customFormat="false" ht="15" hidden="false" customHeight="false" outlineLevel="0" collapsed="false">
      <c r="A52" s="0" t="s">
        <v>162</v>
      </c>
      <c r="B52" s="0" t="s">
        <v>163</v>
      </c>
      <c r="C52" s="0" t="s">
        <v>164</v>
      </c>
      <c r="D52" s="2" t="s">
        <v>11</v>
      </c>
      <c r="E52" s="0" t="str">
        <f aca="false">VLOOKUP(D52,Fornitori!$A$2:$C$6,2,FALSE())</f>
        <v>Meccanica Bassi S.r.l.</v>
      </c>
      <c r="F52" s="0" t="n">
        <v>49</v>
      </c>
      <c r="G52" s="0" t="n">
        <v>9</v>
      </c>
      <c r="H52" s="0" t="str">
        <f aca="false">IF(F52&lt;G52,"SI","NO")</f>
        <v>NO</v>
      </c>
    </row>
    <row r="53" customFormat="false" ht="15" hidden="false" customHeight="false" outlineLevel="0" collapsed="false">
      <c r="A53" s="0" t="s">
        <v>165</v>
      </c>
      <c r="B53" s="0" t="s">
        <v>166</v>
      </c>
      <c r="C53" s="0" t="s">
        <v>167</v>
      </c>
      <c r="D53" s="2" t="s">
        <v>15</v>
      </c>
      <c r="E53" s="0" t="str">
        <f aca="false">VLOOKUP(D53,Fornitori!$A$2:$C$6,2,FALSE())</f>
        <v>Rulmeca Italia</v>
      </c>
      <c r="F53" s="0" t="n">
        <v>7</v>
      </c>
      <c r="G53" s="0" t="n">
        <v>22</v>
      </c>
      <c r="H53" s="0" t="str">
        <f aca="false">IF(F53&lt;G53,"SI","NO")</f>
        <v>SI</v>
      </c>
    </row>
    <row r="54" customFormat="false" ht="15" hidden="false" customHeight="false" outlineLevel="0" collapsed="false">
      <c r="A54" s="0" t="s">
        <v>168</v>
      </c>
      <c r="B54" s="0" t="s">
        <v>169</v>
      </c>
      <c r="C54" s="0" t="s">
        <v>170</v>
      </c>
      <c r="D54" s="2" t="s">
        <v>19</v>
      </c>
      <c r="E54" s="0" t="str">
        <f aca="false">VLOOKUP(D54,Fornitori!$A$2:$C$6,2,FALSE())</f>
        <v>Elettrotecnica Ferri</v>
      </c>
      <c r="F54" s="0" t="n">
        <v>35</v>
      </c>
      <c r="G54" s="0" t="n">
        <v>6</v>
      </c>
      <c r="H54" s="0" t="str">
        <f aca="false">IF(F54&lt;G54,"SI","NO")</f>
        <v>NO</v>
      </c>
    </row>
    <row r="55" customFormat="false" ht="15" hidden="false" customHeight="false" outlineLevel="0" collapsed="false">
      <c r="A55" s="0" t="s">
        <v>171</v>
      </c>
      <c r="B55" s="0" t="s">
        <v>172</v>
      </c>
      <c r="C55" s="0" t="s">
        <v>173</v>
      </c>
      <c r="D55" s="2" t="s">
        <v>23</v>
      </c>
      <c r="E55" s="0" t="str">
        <f aca="false">VLOOKUP(D55,Fornitori!$A$2:$C$6,2,FALSE())</f>
        <v>Pneumax Service</v>
      </c>
      <c r="F55" s="0" t="n">
        <v>6</v>
      </c>
      <c r="G55" s="0" t="n">
        <v>21</v>
      </c>
      <c r="H55" s="0" t="str">
        <f aca="false">IF(F55&lt;G55,"SI","NO")</f>
        <v>SI</v>
      </c>
    </row>
    <row r="56" customFormat="false" ht="15" hidden="false" customHeight="false" outlineLevel="0" collapsed="false">
      <c r="A56" s="0" t="s">
        <v>174</v>
      </c>
      <c r="B56" s="0" t="s">
        <v>175</v>
      </c>
      <c r="C56" s="0" t="s">
        <v>176</v>
      </c>
      <c r="D56" s="2" t="s">
        <v>27</v>
      </c>
      <c r="E56" s="0" t="str">
        <f aca="false">VLOOKUP(D56,Fornitori!$A$2:$C$6,2,FALSE())</f>
        <v>Guarnizioni Alpi</v>
      </c>
      <c r="F56" s="0" t="n">
        <v>20</v>
      </c>
      <c r="G56" s="0" t="n">
        <v>24</v>
      </c>
      <c r="H56" s="0" t="str">
        <f aca="false">IF(F56&lt;G56,"SI","NO")</f>
        <v>SI</v>
      </c>
    </row>
    <row r="57" customFormat="false" ht="15" hidden="false" customHeight="false" outlineLevel="0" collapsed="false">
      <c r="A57" s="0" t="s">
        <v>177</v>
      </c>
      <c r="B57" s="0" t="s">
        <v>178</v>
      </c>
      <c r="C57" s="0" t="s">
        <v>179</v>
      </c>
      <c r="D57" s="2" t="s">
        <v>11</v>
      </c>
      <c r="E57" s="0" t="str">
        <f aca="false">VLOOKUP(D57,Fornitori!$A$2:$C$6,2,FALSE())</f>
        <v>Meccanica Bassi S.r.l.</v>
      </c>
      <c r="F57" s="0" t="n">
        <v>34</v>
      </c>
      <c r="G57" s="0" t="n">
        <v>20</v>
      </c>
      <c r="H57" s="0" t="str">
        <f aca="false">IF(F57&lt;G57,"SI","NO")</f>
        <v>NO</v>
      </c>
    </row>
    <row r="58" customFormat="false" ht="15" hidden="false" customHeight="false" outlineLevel="0" collapsed="false">
      <c r="A58" s="0" t="s">
        <v>180</v>
      </c>
      <c r="B58" s="0" t="s">
        <v>181</v>
      </c>
      <c r="C58" s="0" t="s">
        <v>182</v>
      </c>
      <c r="D58" s="2" t="s">
        <v>15</v>
      </c>
      <c r="E58" s="0" t="str">
        <f aca="false">VLOOKUP(D58,Fornitori!$A$2:$C$6,2,FALSE())</f>
        <v>Rulmeca Italia</v>
      </c>
      <c r="F58" s="0" t="n">
        <v>12</v>
      </c>
      <c r="G58" s="0" t="n">
        <v>19</v>
      </c>
      <c r="H58" s="0" t="str">
        <f aca="false">IF(F58&lt;G58,"SI","NO")</f>
        <v>SI</v>
      </c>
    </row>
    <row r="59" customFormat="false" ht="15" hidden="false" customHeight="false" outlineLevel="0" collapsed="false">
      <c r="A59" s="0" t="s">
        <v>183</v>
      </c>
      <c r="B59" s="0" t="s">
        <v>184</v>
      </c>
      <c r="C59" s="0" t="s">
        <v>185</v>
      </c>
      <c r="D59" s="2" t="s">
        <v>19</v>
      </c>
      <c r="E59" s="0" t="str">
        <f aca="false">VLOOKUP(D59,Fornitori!$A$2:$C$6,2,FALSE())</f>
        <v>Elettrotecnica Ferri</v>
      </c>
      <c r="F59" s="0" t="n">
        <v>20</v>
      </c>
      <c r="G59" s="0" t="n">
        <v>7</v>
      </c>
      <c r="H59" s="0" t="str">
        <f aca="false">IF(F59&lt;G59,"SI","NO")</f>
        <v>NO</v>
      </c>
    </row>
    <row r="60" customFormat="false" ht="15" hidden="false" customHeight="false" outlineLevel="0" collapsed="false">
      <c r="A60" s="0" t="s">
        <v>186</v>
      </c>
      <c r="B60" s="0" t="s">
        <v>187</v>
      </c>
      <c r="C60" s="0" t="s">
        <v>188</v>
      </c>
      <c r="D60" s="2" t="s">
        <v>23</v>
      </c>
      <c r="E60" s="0" t="str">
        <f aca="false">VLOOKUP(D60,Fornitori!$A$2:$C$6,2,FALSE())</f>
        <v>Pneumax Service</v>
      </c>
      <c r="F60" s="0" t="n">
        <v>19</v>
      </c>
      <c r="G60" s="0" t="n">
        <v>8</v>
      </c>
      <c r="H60" s="0" t="str">
        <f aca="false">IF(F60&lt;G60,"SI","NO")</f>
        <v>NO</v>
      </c>
    </row>
    <row r="61" customFormat="false" ht="15" hidden="false" customHeight="false" outlineLevel="0" collapsed="false">
      <c r="A61" s="0" t="s">
        <v>189</v>
      </c>
      <c r="B61" s="0" t="s">
        <v>190</v>
      </c>
      <c r="C61" s="0" t="s">
        <v>191</v>
      </c>
      <c r="D61" s="2" t="s">
        <v>27</v>
      </c>
      <c r="E61" s="0" t="str">
        <f aca="false">VLOOKUP(D61,Fornitori!$A$2:$C$6,2,FALSE())</f>
        <v>Guarnizioni Alpi</v>
      </c>
      <c r="F61" s="0" t="n">
        <v>56</v>
      </c>
      <c r="G61" s="0" t="n">
        <v>9</v>
      </c>
      <c r="H61" s="0" t="str">
        <f aca="false">IF(F61&lt;G61,"SI","NO")</f>
        <v>NO</v>
      </c>
    </row>
    <row r="62" customFormat="false" ht="15" hidden="false" customHeight="false" outlineLevel="0" collapsed="false">
      <c r="A62" s="0" t="s">
        <v>192</v>
      </c>
      <c r="B62" s="0" t="s">
        <v>193</v>
      </c>
      <c r="C62" s="0" t="s">
        <v>194</v>
      </c>
      <c r="D62" s="2" t="s">
        <v>11</v>
      </c>
      <c r="E62" s="0" t="str">
        <f aca="false">VLOOKUP(D62,Fornitori!$A$2:$C$6,2,FALSE())</f>
        <v>Meccanica Bassi S.r.l.</v>
      </c>
      <c r="F62" s="0" t="n">
        <v>31</v>
      </c>
      <c r="G62" s="0" t="n">
        <v>10</v>
      </c>
      <c r="H62" s="0" t="str">
        <f aca="false">IF(F62&lt;G62,"SI","NO")</f>
        <v>NO</v>
      </c>
    </row>
    <row r="63" customFormat="false" ht="15" hidden="false" customHeight="false" outlineLevel="0" collapsed="false">
      <c r="A63" s="0" t="s">
        <v>195</v>
      </c>
      <c r="B63" s="0" t="s">
        <v>196</v>
      </c>
      <c r="C63" s="0" t="s">
        <v>197</v>
      </c>
      <c r="D63" s="2" t="s">
        <v>15</v>
      </c>
      <c r="E63" s="0" t="str">
        <f aca="false">VLOOKUP(D63,Fornitori!$A$2:$C$6,2,FALSE())</f>
        <v>Rulmeca Italia</v>
      </c>
      <c r="F63" s="0" t="n">
        <v>21</v>
      </c>
      <c r="G63" s="0" t="n">
        <v>18</v>
      </c>
      <c r="H63" s="0" t="str">
        <f aca="false">IF(F63&lt;G63,"SI","NO")</f>
        <v>NO</v>
      </c>
    </row>
    <row r="64" customFormat="false" ht="15" hidden="false" customHeight="false" outlineLevel="0" collapsed="false">
      <c r="A64" s="0" t="s">
        <v>198</v>
      </c>
      <c r="B64" s="0" t="s">
        <v>199</v>
      </c>
      <c r="C64" s="0" t="s">
        <v>200</v>
      </c>
      <c r="D64" s="2" t="s">
        <v>19</v>
      </c>
      <c r="E64" s="0" t="str">
        <f aca="false">VLOOKUP(D64,Fornitori!$A$2:$C$6,2,FALSE())</f>
        <v>Elettrotecnica Ferri</v>
      </c>
      <c r="F64" s="0" t="n">
        <v>23</v>
      </c>
      <c r="G64" s="0" t="n">
        <v>5</v>
      </c>
      <c r="H64" s="0" t="str">
        <f aca="false">IF(F64&lt;G64,"SI","NO")</f>
        <v>NO</v>
      </c>
    </row>
    <row r="65" customFormat="false" ht="15" hidden="false" customHeight="false" outlineLevel="0" collapsed="false">
      <c r="A65" s="0" t="s">
        <v>201</v>
      </c>
      <c r="B65" s="0" t="s">
        <v>202</v>
      </c>
      <c r="C65" s="0" t="s">
        <v>203</v>
      </c>
      <c r="D65" s="2" t="s">
        <v>23</v>
      </c>
      <c r="E65" s="0" t="str">
        <f aca="false">VLOOKUP(D65,Fornitori!$A$2:$C$6,2,FALSE())</f>
        <v>Pneumax Service</v>
      </c>
      <c r="F65" s="0" t="n">
        <v>1</v>
      </c>
      <c r="G65" s="0" t="n">
        <v>17</v>
      </c>
      <c r="H65" s="0" t="str">
        <f aca="false">IF(F65&lt;G65,"SI","NO")</f>
        <v>SI</v>
      </c>
    </row>
    <row r="66" customFormat="false" ht="15" hidden="false" customHeight="false" outlineLevel="0" collapsed="false">
      <c r="A66" s="0" t="s">
        <v>204</v>
      </c>
      <c r="B66" s="0" t="s">
        <v>205</v>
      </c>
      <c r="C66" s="0" t="s">
        <v>206</v>
      </c>
      <c r="D66" s="2" t="s">
        <v>27</v>
      </c>
      <c r="E66" s="0" t="str">
        <f aca="false">VLOOKUP(D66,Fornitori!$A$2:$C$6,2,FALSE())</f>
        <v>Guarnizioni Alpi</v>
      </c>
      <c r="F66" s="0" t="n">
        <v>7</v>
      </c>
      <c r="G66" s="0" t="n">
        <v>12</v>
      </c>
      <c r="H66" s="0" t="str">
        <f aca="false">IF(F66&lt;G66,"SI","NO")</f>
        <v>SI</v>
      </c>
    </row>
    <row r="67" customFormat="false" ht="15" hidden="false" customHeight="false" outlineLevel="0" collapsed="false">
      <c r="A67" s="0" t="s">
        <v>207</v>
      </c>
      <c r="B67" s="0" t="s">
        <v>208</v>
      </c>
      <c r="C67" s="0" t="s">
        <v>209</v>
      </c>
      <c r="D67" s="2" t="s">
        <v>11</v>
      </c>
      <c r="E67" s="0" t="str">
        <f aca="false">VLOOKUP(D67,Fornitori!$A$2:$C$6,2,FALSE())</f>
        <v>Meccanica Bassi S.r.l.</v>
      </c>
      <c r="F67" s="0" t="n">
        <v>57</v>
      </c>
      <c r="G67" s="0" t="n">
        <v>10</v>
      </c>
      <c r="H67" s="0" t="str">
        <f aca="false">IF(F67&lt;G67,"SI","NO")</f>
        <v>NO</v>
      </c>
    </row>
    <row r="68" customFormat="false" ht="15" hidden="false" customHeight="false" outlineLevel="0" collapsed="false">
      <c r="A68" s="0" t="s">
        <v>210</v>
      </c>
      <c r="B68" s="0" t="s">
        <v>211</v>
      </c>
      <c r="C68" s="0" t="s">
        <v>212</v>
      </c>
      <c r="D68" s="2" t="s">
        <v>15</v>
      </c>
      <c r="E68" s="0" t="str">
        <f aca="false">VLOOKUP(D68,Fornitori!$A$2:$C$6,2,FALSE())</f>
        <v>Rulmeca Italia</v>
      </c>
      <c r="F68" s="0" t="n">
        <v>16</v>
      </c>
      <c r="G68" s="0" t="n">
        <v>17</v>
      </c>
      <c r="H68" s="0" t="str">
        <f aca="false">IF(F68&lt;G68,"SI","NO")</f>
        <v>SI</v>
      </c>
    </row>
    <row r="69" customFormat="false" ht="15" hidden="false" customHeight="false" outlineLevel="0" collapsed="false">
      <c r="A69" s="0" t="s">
        <v>213</v>
      </c>
      <c r="B69" s="0" t="s">
        <v>214</v>
      </c>
      <c r="C69" s="0" t="s">
        <v>215</v>
      </c>
      <c r="D69" s="2" t="s">
        <v>19</v>
      </c>
      <c r="E69" s="0" t="str">
        <f aca="false">VLOOKUP(D69,Fornitori!$A$2:$C$6,2,FALSE())</f>
        <v>Elettrotecnica Ferri</v>
      </c>
      <c r="F69" s="0" t="n">
        <v>5</v>
      </c>
      <c r="G69" s="0" t="n">
        <v>13</v>
      </c>
      <c r="H69" s="0" t="str">
        <f aca="false">IF(F69&lt;G69,"SI","NO")</f>
        <v>SI</v>
      </c>
    </row>
    <row r="70" customFormat="false" ht="15" hidden="false" customHeight="false" outlineLevel="0" collapsed="false">
      <c r="A70" s="0" t="s">
        <v>216</v>
      </c>
      <c r="B70" s="0" t="s">
        <v>217</v>
      </c>
      <c r="C70" s="0" t="s">
        <v>218</v>
      </c>
      <c r="D70" s="2" t="s">
        <v>23</v>
      </c>
      <c r="E70" s="0" t="str">
        <f aca="false">VLOOKUP(D70,Fornitori!$A$2:$C$6,2,FALSE())</f>
        <v>Pneumax Service</v>
      </c>
      <c r="F70" s="0" t="n">
        <v>4</v>
      </c>
      <c r="G70" s="0" t="n">
        <v>13</v>
      </c>
      <c r="H70" s="0" t="str">
        <f aca="false">IF(F70&lt;G70,"SI","NO")</f>
        <v>SI</v>
      </c>
    </row>
    <row r="71" customFormat="false" ht="15" hidden="false" customHeight="false" outlineLevel="0" collapsed="false">
      <c r="A71" s="0" t="s">
        <v>219</v>
      </c>
      <c r="B71" s="0" t="s">
        <v>220</v>
      </c>
      <c r="C71" s="0" t="s">
        <v>221</v>
      </c>
      <c r="D71" s="2" t="s">
        <v>27</v>
      </c>
      <c r="E71" s="0" t="str">
        <f aca="false">VLOOKUP(D71,Fornitori!$A$2:$C$6,2,FALSE())</f>
        <v>Guarnizioni Alpi</v>
      </c>
      <c r="F71" s="0" t="n">
        <v>38</v>
      </c>
      <c r="G71" s="0" t="n">
        <v>12</v>
      </c>
      <c r="H71" s="0" t="str">
        <f aca="false">IF(F71&lt;G71,"SI","NO")</f>
        <v>NO</v>
      </c>
    </row>
    <row r="72" customFormat="false" ht="15" hidden="false" customHeight="false" outlineLevel="0" collapsed="false">
      <c r="A72" s="0" t="s">
        <v>222</v>
      </c>
      <c r="B72" s="0" t="s">
        <v>223</v>
      </c>
      <c r="C72" s="0" t="s">
        <v>224</v>
      </c>
      <c r="D72" s="2" t="s">
        <v>11</v>
      </c>
      <c r="E72" s="0" t="str">
        <f aca="false">VLOOKUP(D72,Fornitori!$A$2:$C$6,2,FALSE())</f>
        <v>Meccanica Bassi S.r.l.</v>
      </c>
      <c r="F72" s="0" t="n">
        <v>21</v>
      </c>
      <c r="G72" s="0" t="n">
        <v>22</v>
      </c>
      <c r="H72" s="0" t="str">
        <f aca="false">IF(F72&lt;G72,"SI","NO")</f>
        <v>SI</v>
      </c>
    </row>
    <row r="73" customFormat="false" ht="15" hidden="false" customHeight="false" outlineLevel="0" collapsed="false">
      <c r="A73" s="0" t="s">
        <v>225</v>
      </c>
      <c r="B73" s="0" t="s">
        <v>226</v>
      </c>
      <c r="C73" s="0" t="s">
        <v>227</v>
      </c>
      <c r="D73" s="2" t="s">
        <v>15</v>
      </c>
      <c r="E73" s="0" t="str">
        <f aca="false">VLOOKUP(D73,Fornitori!$A$2:$C$6,2,FALSE())</f>
        <v>Rulmeca Italia</v>
      </c>
      <c r="F73" s="0" t="n">
        <v>45</v>
      </c>
      <c r="G73" s="0" t="n">
        <v>12</v>
      </c>
      <c r="H73" s="0" t="str">
        <f aca="false">IF(F73&lt;G73,"SI","NO")</f>
        <v>NO</v>
      </c>
    </row>
    <row r="74" customFormat="false" ht="15" hidden="false" customHeight="false" outlineLevel="0" collapsed="false">
      <c r="A74" s="0" t="s">
        <v>228</v>
      </c>
      <c r="B74" s="0" t="s">
        <v>229</v>
      </c>
      <c r="C74" s="0" t="s">
        <v>230</v>
      </c>
      <c r="D74" s="2" t="s">
        <v>19</v>
      </c>
      <c r="E74" s="0" t="str">
        <f aca="false">VLOOKUP(D74,Fornitori!$A$2:$C$6,2,FALSE())</f>
        <v>Elettrotecnica Ferri</v>
      </c>
      <c r="F74" s="0" t="n">
        <v>12</v>
      </c>
      <c r="G74" s="0" t="n">
        <v>14</v>
      </c>
      <c r="H74" s="0" t="str">
        <f aca="false">IF(F74&lt;G74,"SI","NO")</f>
        <v>SI</v>
      </c>
    </row>
    <row r="75" customFormat="false" ht="15" hidden="false" customHeight="false" outlineLevel="0" collapsed="false">
      <c r="A75" s="0" t="s">
        <v>231</v>
      </c>
      <c r="B75" s="0" t="s">
        <v>232</v>
      </c>
      <c r="C75" s="0" t="s">
        <v>233</v>
      </c>
      <c r="D75" s="2" t="s">
        <v>23</v>
      </c>
      <c r="E75" s="0" t="str">
        <f aca="false">VLOOKUP(D75,Fornitori!$A$2:$C$6,2,FALSE())</f>
        <v>Pneumax Service</v>
      </c>
      <c r="F75" s="0" t="n">
        <v>32</v>
      </c>
      <c r="G75" s="0" t="n">
        <v>10</v>
      </c>
      <c r="H75" s="0" t="str">
        <f aca="false">IF(F75&lt;G75,"SI","NO")</f>
        <v>NO</v>
      </c>
    </row>
    <row r="76" customFormat="false" ht="15" hidden="false" customHeight="false" outlineLevel="0" collapsed="false">
      <c r="A76" s="0" t="s">
        <v>234</v>
      </c>
      <c r="B76" s="0" t="s">
        <v>235</v>
      </c>
      <c r="C76" s="0" t="s">
        <v>236</v>
      </c>
      <c r="D76" s="2" t="s">
        <v>27</v>
      </c>
      <c r="E76" s="0" t="str">
        <f aca="false">VLOOKUP(D76,Fornitori!$A$2:$C$6,2,FALSE())</f>
        <v>Guarnizioni Alpi</v>
      </c>
      <c r="F76" s="0" t="n">
        <v>0</v>
      </c>
      <c r="G76" s="0" t="n">
        <v>5</v>
      </c>
      <c r="H76" s="0" t="str">
        <f aca="false">IF(F76&lt;G76,"SI","NO")</f>
        <v>SI</v>
      </c>
    </row>
    <row r="77" customFormat="false" ht="15" hidden="false" customHeight="false" outlineLevel="0" collapsed="false">
      <c r="A77" s="0" t="s">
        <v>237</v>
      </c>
      <c r="B77" s="0" t="s">
        <v>238</v>
      </c>
      <c r="C77" s="0" t="s">
        <v>239</v>
      </c>
      <c r="D77" s="2" t="s">
        <v>11</v>
      </c>
      <c r="E77" s="0" t="str">
        <f aca="false">VLOOKUP(D77,Fornitori!$A$2:$C$6,2,FALSE())</f>
        <v>Meccanica Bassi S.r.l.</v>
      </c>
      <c r="F77" s="0" t="n">
        <v>6</v>
      </c>
      <c r="G77" s="0" t="n">
        <v>18</v>
      </c>
      <c r="H77" s="0" t="str">
        <f aca="false">IF(F77&lt;G77,"SI","NO")</f>
        <v>SI</v>
      </c>
    </row>
    <row r="78" customFormat="false" ht="15" hidden="false" customHeight="false" outlineLevel="0" collapsed="false">
      <c r="A78" s="0" t="s">
        <v>240</v>
      </c>
      <c r="B78" s="0" t="s">
        <v>241</v>
      </c>
      <c r="C78" s="0" t="s">
        <v>242</v>
      </c>
      <c r="D78" s="2" t="s">
        <v>15</v>
      </c>
      <c r="E78" s="0" t="str">
        <f aca="false">VLOOKUP(D78,Fornitori!$A$2:$C$6,2,FALSE())</f>
        <v>Rulmeca Italia</v>
      </c>
      <c r="F78" s="0" t="n">
        <v>44</v>
      </c>
      <c r="G78" s="0" t="n">
        <v>11</v>
      </c>
      <c r="H78" s="0" t="str">
        <f aca="false">IF(F78&lt;G78,"SI","NO")</f>
        <v>NO</v>
      </c>
    </row>
    <row r="79" customFormat="false" ht="15" hidden="false" customHeight="false" outlineLevel="0" collapsed="false">
      <c r="A79" s="0" t="s">
        <v>243</v>
      </c>
      <c r="B79" s="0" t="s">
        <v>244</v>
      </c>
      <c r="C79" s="0" t="s">
        <v>245</v>
      </c>
      <c r="D79" s="2" t="s">
        <v>19</v>
      </c>
      <c r="E79" s="0" t="str">
        <f aca="false">VLOOKUP(D79,Fornitori!$A$2:$C$6,2,FALSE())</f>
        <v>Elettrotecnica Ferri</v>
      </c>
      <c r="F79" s="0" t="n">
        <v>40</v>
      </c>
      <c r="G79" s="0" t="n">
        <v>9</v>
      </c>
      <c r="H79" s="0" t="str">
        <f aca="false">IF(F79&lt;G79,"SI","NO")</f>
        <v>NO</v>
      </c>
    </row>
    <row r="80" customFormat="false" ht="15" hidden="false" customHeight="false" outlineLevel="0" collapsed="false">
      <c r="A80" s="0" t="s">
        <v>246</v>
      </c>
      <c r="B80" s="0" t="s">
        <v>247</v>
      </c>
      <c r="C80" s="0" t="s">
        <v>248</v>
      </c>
      <c r="D80" s="2" t="s">
        <v>23</v>
      </c>
      <c r="E80" s="0" t="str">
        <f aca="false">VLOOKUP(D80,Fornitori!$A$2:$C$6,2,FALSE())</f>
        <v>Pneumax Service</v>
      </c>
      <c r="F80" s="0" t="n">
        <v>4</v>
      </c>
      <c r="G80" s="0" t="n">
        <v>13</v>
      </c>
      <c r="H80" s="0" t="str">
        <f aca="false">IF(F80&lt;G80,"SI","NO")</f>
        <v>SI</v>
      </c>
    </row>
    <row r="81" customFormat="false" ht="15" hidden="false" customHeight="false" outlineLevel="0" collapsed="false">
      <c r="A81" s="0" t="s">
        <v>249</v>
      </c>
      <c r="B81" s="0" t="s">
        <v>250</v>
      </c>
      <c r="C81" s="0" t="s">
        <v>251</v>
      </c>
      <c r="D81" s="2" t="s">
        <v>27</v>
      </c>
      <c r="E81" s="0" t="str">
        <f aca="false">VLOOKUP(D81,Fornitori!$A$2:$C$6,2,FALSE())</f>
        <v>Guarnizioni Alpi</v>
      </c>
      <c r="F81" s="0" t="n">
        <v>53</v>
      </c>
      <c r="G81" s="0" t="n">
        <v>17</v>
      </c>
      <c r="H81" s="0" t="str">
        <f aca="false">IF(F81&lt;G81,"SI","NO")</f>
        <v>NO</v>
      </c>
    </row>
    <row r="82" customFormat="false" ht="15" hidden="false" customHeight="false" outlineLevel="0" collapsed="false">
      <c r="A82" s="0" t="s">
        <v>252</v>
      </c>
      <c r="B82" s="0" t="s">
        <v>253</v>
      </c>
      <c r="C82" s="0" t="s">
        <v>254</v>
      </c>
      <c r="D82" s="2" t="s">
        <v>11</v>
      </c>
      <c r="E82" s="0" t="str">
        <f aca="false">VLOOKUP(D82,Fornitori!$A$2:$C$6,2,FALSE())</f>
        <v>Meccanica Bassi S.r.l.</v>
      </c>
      <c r="F82" s="0" t="n">
        <v>2</v>
      </c>
      <c r="G82" s="0" t="n">
        <v>19</v>
      </c>
      <c r="H82" s="0" t="str">
        <f aca="false">IF(F82&lt;G82,"SI","NO")</f>
        <v>SI</v>
      </c>
    </row>
    <row r="83" customFormat="false" ht="15" hidden="false" customHeight="false" outlineLevel="0" collapsed="false">
      <c r="A83" s="0" t="s">
        <v>255</v>
      </c>
      <c r="B83" s="0" t="s">
        <v>196</v>
      </c>
      <c r="C83" s="0" t="s">
        <v>256</v>
      </c>
      <c r="D83" s="2" t="s">
        <v>15</v>
      </c>
      <c r="E83" s="0" t="str">
        <f aca="false">VLOOKUP(D83,Fornitori!$A$2:$C$6,2,FALSE())</f>
        <v>Rulmeca Italia</v>
      </c>
      <c r="F83" s="0" t="n">
        <v>16</v>
      </c>
      <c r="G83" s="0" t="n">
        <v>16</v>
      </c>
      <c r="H83" s="0" t="str">
        <f aca="false">IF(F83&lt;G83,"SI","NO")</f>
        <v>NO</v>
      </c>
    </row>
    <row r="84" customFormat="false" ht="15" hidden="false" customHeight="false" outlineLevel="0" collapsed="false">
      <c r="A84" s="0" t="s">
        <v>257</v>
      </c>
      <c r="B84" s="0" t="s">
        <v>258</v>
      </c>
      <c r="C84" s="0" t="s">
        <v>259</v>
      </c>
      <c r="D84" s="2" t="s">
        <v>19</v>
      </c>
      <c r="E84" s="0" t="str">
        <f aca="false">VLOOKUP(D84,Fornitori!$A$2:$C$6,2,FALSE())</f>
        <v>Elettrotecnica Ferri</v>
      </c>
      <c r="F84" s="0" t="n">
        <v>56</v>
      </c>
      <c r="G84" s="0" t="n">
        <v>14</v>
      </c>
      <c r="H84" s="0" t="str">
        <f aca="false">IF(F84&lt;G84,"SI","NO")</f>
        <v>NO</v>
      </c>
    </row>
    <row r="85" customFormat="false" ht="15" hidden="false" customHeight="false" outlineLevel="0" collapsed="false">
      <c r="A85" s="0" t="s">
        <v>260</v>
      </c>
      <c r="B85" s="0" t="s">
        <v>261</v>
      </c>
      <c r="C85" s="0" t="s">
        <v>262</v>
      </c>
      <c r="D85" s="2" t="s">
        <v>23</v>
      </c>
      <c r="E85" s="0" t="str">
        <f aca="false">VLOOKUP(D85,Fornitori!$A$2:$C$6,2,FALSE())</f>
        <v>Pneumax Service</v>
      </c>
      <c r="F85" s="0" t="n">
        <v>24</v>
      </c>
      <c r="G85" s="0" t="n">
        <v>7</v>
      </c>
      <c r="H85" s="0" t="str">
        <f aca="false">IF(F85&lt;G85,"SI","NO")</f>
        <v>NO</v>
      </c>
    </row>
    <row r="86" customFormat="false" ht="15" hidden="false" customHeight="false" outlineLevel="0" collapsed="false">
      <c r="A86" s="0" t="s">
        <v>263</v>
      </c>
      <c r="B86" s="0" t="s">
        <v>264</v>
      </c>
      <c r="C86" s="0" t="s">
        <v>122</v>
      </c>
      <c r="D86" s="2" t="s">
        <v>27</v>
      </c>
      <c r="E86" s="0" t="str">
        <f aca="false">VLOOKUP(D86,Fornitori!$A$2:$C$6,2,FALSE())</f>
        <v>Guarnizioni Alpi</v>
      </c>
      <c r="F86" s="0" t="n">
        <v>49</v>
      </c>
      <c r="G86" s="0" t="n">
        <v>5</v>
      </c>
      <c r="H86" s="0" t="str">
        <f aca="false">IF(F86&lt;G86,"SI","NO")</f>
        <v>NO</v>
      </c>
    </row>
    <row r="87" customFormat="false" ht="15" hidden="false" customHeight="false" outlineLevel="0" collapsed="false">
      <c r="A87" s="0" t="s">
        <v>265</v>
      </c>
      <c r="B87" s="0" t="s">
        <v>266</v>
      </c>
      <c r="C87" s="0" t="s">
        <v>267</v>
      </c>
      <c r="D87" s="2" t="s">
        <v>11</v>
      </c>
      <c r="E87" s="0" t="str">
        <f aca="false">VLOOKUP(D87,Fornitori!$A$2:$C$6,2,FALSE())</f>
        <v>Meccanica Bassi S.r.l.</v>
      </c>
      <c r="F87" s="0" t="n">
        <v>37</v>
      </c>
      <c r="G87" s="0" t="n">
        <v>6</v>
      </c>
      <c r="H87" s="0" t="str">
        <f aca="false">IF(F87&lt;G87,"SI","NO")</f>
        <v>NO</v>
      </c>
    </row>
    <row r="88" customFormat="false" ht="15" hidden="false" customHeight="false" outlineLevel="0" collapsed="false">
      <c r="A88" s="0" t="s">
        <v>268</v>
      </c>
      <c r="B88" s="0" t="s">
        <v>269</v>
      </c>
      <c r="C88" s="0" t="s">
        <v>270</v>
      </c>
      <c r="D88" s="2" t="s">
        <v>15</v>
      </c>
      <c r="E88" s="0" t="str">
        <f aca="false">VLOOKUP(D88,Fornitori!$A$2:$C$6,2,FALSE())</f>
        <v>Rulmeca Italia</v>
      </c>
      <c r="F88" s="0" t="n">
        <v>14</v>
      </c>
      <c r="G88" s="0" t="n">
        <v>7</v>
      </c>
      <c r="H88" s="0" t="str">
        <f aca="false">IF(F88&lt;G88,"SI","NO")</f>
        <v>NO</v>
      </c>
    </row>
    <row r="89" customFormat="false" ht="15" hidden="false" customHeight="false" outlineLevel="0" collapsed="false">
      <c r="A89" s="0" t="s">
        <v>271</v>
      </c>
      <c r="B89" s="0" t="s">
        <v>272</v>
      </c>
      <c r="C89" s="0" t="s">
        <v>273</v>
      </c>
      <c r="D89" s="2" t="s">
        <v>19</v>
      </c>
      <c r="E89" s="0" t="str">
        <f aca="false">VLOOKUP(D89,Fornitori!$A$2:$C$6,2,FALSE())</f>
        <v>Elettrotecnica Ferri</v>
      </c>
      <c r="F89" s="0" t="n">
        <v>31</v>
      </c>
      <c r="G89" s="0" t="n">
        <v>9</v>
      </c>
      <c r="H89" s="0" t="str">
        <f aca="false">IF(F89&lt;G89,"SI","NO")</f>
        <v>NO</v>
      </c>
    </row>
    <row r="90" customFormat="false" ht="15" hidden="false" customHeight="false" outlineLevel="0" collapsed="false">
      <c r="A90" s="0" t="s">
        <v>274</v>
      </c>
      <c r="B90" s="0" t="s">
        <v>275</v>
      </c>
      <c r="C90" s="0" t="s">
        <v>276</v>
      </c>
      <c r="D90" s="2" t="s">
        <v>23</v>
      </c>
      <c r="E90" s="0" t="str">
        <f aca="false">VLOOKUP(D90,Fornitori!$A$2:$C$6,2,FALSE())</f>
        <v>Pneumax Service</v>
      </c>
      <c r="F90" s="0" t="n">
        <v>53</v>
      </c>
      <c r="G90" s="0" t="n">
        <v>21</v>
      </c>
      <c r="H90" s="0" t="str">
        <f aca="false">IF(F90&lt;G90,"SI","NO")</f>
        <v>NO</v>
      </c>
    </row>
    <row r="91" customFormat="false" ht="15" hidden="false" customHeight="false" outlineLevel="0" collapsed="false">
      <c r="A91" s="0" t="s">
        <v>277</v>
      </c>
      <c r="B91" s="0" t="s">
        <v>160</v>
      </c>
      <c r="C91" s="0" t="s">
        <v>278</v>
      </c>
      <c r="D91" s="2" t="s">
        <v>27</v>
      </c>
      <c r="E91" s="0" t="str">
        <f aca="false">VLOOKUP(D91,Fornitori!$A$2:$C$6,2,FALSE())</f>
        <v>Guarnizioni Alpi</v>
      </c>
      <c r="F91" s="0" t="n">
        <v>32</v>
      </c>
      <c r="G91" s="0" t="n">
        <v>23</v>
      </c>
      <c r="H91" s="0" t="str">
        <f aca="false">IF(F91&lt;G91,"SI","NO")</f>
        <v>NO</v>
      </c>
    </row>
    <row r="92" customFormat="false" ht="15" hidden="false" customHeight="false" outlineLevel="0" collapsed="false">
      <c r="A92" s="0" t="s">
        <v>279</v>
      </c>
      <c r="B92" s="0" t="s">
        <v>280</v>
      </c>
      <c r="C92" s="0" t="s">
        <v>281</v>
      </c>
      <c r="D92" s="2" t="s">
        <v>11</v>
      </c>
      <c r="E92" s="0" t="str">
        <f aca="false">VLOOKUP(D92,Fornitori!$A$2:$C$6,2,FALSE())</f>
        <v>Meccanica Bassi S.r.l.</v>
      </c>
      <c r="F92" s="0" t="n">
        <v>2</v>
      </c>
      <c r="G92" s="0" t="n">
        <v>9</v>
      </c>
      <c r="H92" s="0" t="str">
        <f aca="false">IF(F92&lt;G92,"SI","NO")</f>
        <v>SI</v>
      </c>
    </row>
    <row r="93" customFormat="false" ht="15" hidden="false" customHeight="false" outlineLevel="0" collapsed="false">
      <c r="A93" s="0" t="s">
        <v>282</v>
      </c>
      <c r="B93" s="0" t="s">
        <v>283</v>
      </c>
      <c r="C93" s="0" t="s">
        <v>284</v>
      </c>
      <c r="D93" s="2" t="s">
        <v>15</v>
      </c>
      <c r="E93" s="0" t="str">
        <f aca="false">VLOOKUP(D93,Fornitori!$A$2:$C$6,2,FALSE())</f>
        <v>Rulmeca Italia</v>
      </c>
      <c r="F93" s="0" t="n">
        <v>3</v>
      </c>
      <c r="G93" s="0" t="n">
        <v>5</v>
      </c>
      <c r="H93" s="0" t="str">
        <f aca="false">IF(F93&lt;G93,"SI","NO")</f>
        <v>SI</v>
      </c>
    </row>
    <row r="94" customFormat="false" ht="15" hidden="false" customHeight="false" outlineLevel="0" collapsed="false">
      <c r="A94" s="0" t="s">
        <v>285</v>
      </c>
      <c r="B94" s="0" t="s">
        <v>286</v>
      </c>
      <c r="C94" s="0" t="s">
        <v>287</v>
      </c>
      <c r="D94" s="2" t="s">
        <v>19</v>
      </c>
      <c r="E94" s="0" t="str">
        <f aca="false">VLOOKUP(D94,Fornitori!$A$2:$C$6,2,FALSE())</f>
        <v>Elettrotecnica Ferri</v>
      </c>
      <c r="F94" s="0" t="n">
        <v>51</v>
      </c>
      <c r="G94" s="0" t="n">
        <v>7</v>
      </c>
      <c r="H94" s="0" t="str">
        <f aca="false">IF(F94&lt;G94,"SI","NO")</f>
        <v>NO</v>
      </c>
    </row>
    <row r="95" customFormat="false" ht="15" hidden="false" customHeight="false" outlineLevel="0" collapsed="false">
      <c r="A95" s="0" t="s">
        <v>288</v>
      </c>
      <c r="B95" s="0" t="s">
        <v>289</v>
      </c>
      <c r="C95" s="0" t="s">
        <v>290</v>
      </c>
      <c r="D95" s="2" t="s">
        <v>23</v>
      </c>
      <c r="E95" s="0" t="str">
        <f aca="false">VLOOKUP(D95,Fornitori!$A$2:$C$6,2,FALSE())</f>
        <v>Pneumax Service</v>
      </c>
      <c r="F95" s="0" t="n">
        <v>30</v>
      </c>
      <c r="G95" s="0" t="n">
        <v>13</v>
      </c>
      <c r="H95" s="0" t="str">
        <f aca="false">IF(F95&lt;G95,"SI","NO")</f>
        <v>NO</v>
      </c>
    </row>
    <row r="96" customFormat="false" ht="15" hidden="false" customHeight="false" outlineLevel="0" collapsed="false">
      <c r="A96" s="0" t="s">
        <v>291</v>
      </c>
      <c r="B96" s="0" t="s">
        <v>292</v>
      </c>
      <c r="C96" s="0" t="s">
        <v>293</v>
      </c>
      <c r="D96" s="2" t="s">
        <v>27</v>
      </c>
      <c r="E96" s="0" t="str">
        <f aca="false">VLOOKUP(D96,Fornitori!$A$2:$C$6,2,FALSE())</f>
        <v>Guarnizioni Alpi</v>
      </c>
      <c r="F96" s="0" t="n">
        <v>13</v>
      </c>
      <c r="G96" s="0" t="n">
        <v>12</v>
      </c>
      <c r="H96" s="0" t="str">
        <f aca="false">IF(F96&lt;G96,"SI","NO")</f>
        <v>NO</v>
      </c>
    </row>
    <row r="97" customFormat="false" ht="15" hidden="false" customHeight="false" outlineLevel="0" collapsed="false">
      <c r="A97" s="0" t="s">
        <v>294</v>
      </c>
      <c r="B97" s="0" t="s">
        <v>295</v>
      </c>
      <c r="C97" s="0" t="s">
        <v>296</v>
      </c>
      <c r="D97" s="2" t="s">
        <v>11</v>
      </c>
      <c r="E97" s="0" t="str">
        <f aca="false">VLOOKUP(D97,Fornitori!$A$2:$C$6,2,FALSE())</f>
        <v>Meccanica Bassi S.r.l.</v>
      </c>
      <c r="F97" s="0" t="n">
        <v>58</v>
      </c>
      <c r="G97" s="0" t="n">
        <v>14</v>
      </c>
      <c r="H97" s="0" t="str">
        <f aca="false">IF(F97&lt;G97,"SI","NO")</f>
        <v>NO</v>
      </c>
    </row>
    <row r="98" customFormat="false" ht="15" hidden="false" customHeight="false" outlineLevel="0" collapsed="false">
      <c r="A98" s="0" t="s">
        <v>297</v>
      </c>
      <c r="B98" s="0" t="s">
        <v>298</v>
      </c>
      <c r="C98" s="0" t="s">
        <v>299</v>
      </c>
      <c r="D98" s="2" t="s">
        <v>15</v>
      </c>
      <c r="E98" s="0" t="str">
        <f aca="false">VLOOKUP(D98,Fornitori!$A$2:$C$6,2,FALSE())</f>
        <v>Rulmeca Italia</v>
      </c>
      <c r="F98" s="0" t="n">
        <v>9</v>
      </c>
      <c r="G98" s="0" t="n">
        <v>15</v>
      </c>
      <c r="H98" s="0" t="str">
        <f aca="false">IF(F98&lt;G98,"SI","NO")</f>
        <v>SI</v>
      </c>
    </row>
    <row r="99" customFormat="false" ht="15" hidden="false" customHeight="false" outlineLevel="0" collapsed="false">
      <c r="A99" s="0" t="s">
        <v>300</v>
      </c>
      <c r="B99" s="0" t="s">
        <v>301</v>
      </c>
      <c r="C99" s="0" t="s">
        <v>302</v>
      </c>
      <c r="D99" s="2" t="s">
        <v>19</v>
      </c>
      <c r="E99" s="0" t="str">
        <f aca="false">VLOOKUP(D99,Fornitori!$A$2:$C$6,2,FALSE())</f>
        <v>Elettrotecnica Ferri</v>
      </c>
      <c r="F99" s="0" t="n">
        <v>8</v>
      </c>
      <c r="G99" s="0" t="n">
        <v>5</v>
      </c>
      <c r="H99" s="0" t="str">
        <f aca="false">IF(F99&lt;G99,"SI","NO")</f>
        <v>NO</v>
      </c>
    </row>
    <row r="100" customFormat="false" ht="15" hidden="false" customHeight="false" outlineLevel="0" collapsed="false">
      <c r="A100" s="0" t="s">
        <v>303</v>
      </c>
      <c r="B100" s="0" t="s">
        <v>304</v>
      </c>
      <c r="C100" s="0" t="s">
        <v>305</v>
      </c>
      <c r="D100" s="2" t="s">
        <v>23</v>
      </c>
      <c r="E100" s="0" t="str">
        <f aca="false">VLOOKUP(D100,Fornitori!$A$2:$C$6,2,FALSE())</f>
        <v>Pneumax Service</v>
      </c>
      <c r="F100" s="0" t="n">
        <v>6</v>
      </c>
      <c r="G100" s="0" t="n">
        <v>11</v>
      </c>
      <c r="H100" s="0" t="str">
        <f aca="false">IF(F100&lt;G100,"SI","NO")</f>
        <v>SI</v>
      </c>
    </row>
    <row r="101" customFormat="false" ht="15" hidden="false" customHeight="false" outlineLevel="0" collapsed="false">
      <c r="A101" s="0" t="s">
        <v>306</v>
      </c>
      <c r="B101" s="0" t="s">
        <v>307</v>
      </c>
      <c r="C101" s="0" t="s">
        <v>308</v>
      </c>
      <c r="D101" s="2" t="s">
        <v>27</v>
      </c>
      <c r="E101" s="0" t="str">
        <f aca="false">VLOOKUP(D101,Fornitori!$A$2:$C$6,2,FALSE())</f>
        <v>Guarnizioni Alpi</v>
      </c>
      <c r="F101" s="0" t="n">
        <v>29</v>
      </c>
      <c r="G101" s="0" t="n">
        <v>8</v>
      </c>
      <c r="H101" s="0" t="str">
        <f aca="false">IF(F101&lt;G101,"SI","NO")</f>
        <v>NO</v>
      </c>
    </row>
    <row r="102" customFormat="false" ht="15" hidden="false" customHeight="false" outlineLevel="0" collapsed="false">
      <c r="A102" s="0" t="s">
        <v>309</v>
      </c>
      <c r="B102" s="0" t="s">
        <v>310</v>
      </c>
      <c r="C102" s="0" t="s">
        <v>224</v>
      </c>
      <c r="D102" s="2" t="s">
        <v>11</v>
      </c>
      <c r="E102" s="0" t="str">
        <f aca="false">VLOOKUP(D102,Fornitori!$A$2:$C$6,2,FALSE())</f>
        <v>Meccanica Bassi S.r.l.</v>
      </c>
      <c r="F102" s="0" t="n">
        <v>18</v>
      </c>
      <c r="G102" s="0" t="n">
        <v>19</v>
      </c>
      <c r="H102" s="0" t="str">
        <f aca="false">IF(F102&lt;G102,"SI","NO")</f>
        <v>SI</v>
      </c>
    </row>
    <row r="103" customFormat="false" ht="15" hidden="false" customHeight="false" outlineLevel="0" collapsed="false">
      <c r="A103" s="0" t="s">
        <v>311</v>
      </c>
      <c r="B103" s="0" t="s">
        <v>312</v>
      </c>
      <c r="C103" s="0" t="s">
        <v>313</v>
      </c>
      <c r="D103" s="2" t="s">
        <v>15</v>
      </c>
      <c r="E103" s="0" t="str">
        <f aca="false">VLOOKUP(D103,Fornitori!$A$2:$C$6,2,FALSE())</f>
        <v>Rulmeca Italia</v>
      </c>
      <c r="F103" s="0" t="n">
        <v>13</v>
      </c>
      <c r="G103" s="0" t="n">
        <v>11</v>
      </c>
      <c r="H103" s="0" t="str">
        <f aca="false">IF(F103&lt;G103,"SI","NO")</f>
        <v>NO</v>
      </c>
    </row>
    <row r="104" customFormat="false" ht="15" hidden="false" customHeight="false" outlineLevel="0" collapsed="false">
      <c r="A104" s="0" t="s">
        <v>314</v>
      </c>
      <c r="B104" s="0" t="s">
        <v>315</v>
      </c>
      <c r="C104" s="0" t="s">
        <v>316</v>
      </c>
      <c r="D104" s="2" t="s">
        <v>19</v>
      </c>
      <c r="E104" s="0" t="str">
        <f aca="false">VLOOKUP(D104,Fornitori!$A$2:$C$6,2,FALSE())</f>
        <v>Elettrotecnica Ferri</v>
      </c>
      <c r="F104" s="0" t="n">
        <v>33</v>
      </c>
      <c r="G104" s="0" t="n">
        <v>13</v>
      </c>
      <c r="H104" s="0" t="str">
        <f aca="false">IF(F104&lt;G104,"SI","NO")</f>
        <v>NO</v>
      </c>
    </row>
    <row r="105" customFormat="false" ht="15" hidden="false" customHeight="false" outlineLevel="0" collapsed="false">
      <c r="A105" s="0" t="s">
        <v>317</v>
      </c>
      <c r="B105" s="0" t="s">
        <v>318</v>
      </c>
      <c r="C105" s="0" t="s">
        <v>319</v>
      </c>
      <c r="D105" s="2" t="s">
        <v>23</v>
      </c>
      <c r="E105" s="0" t="str">
        <f aca="false">VLOOKUP(D105,Fornitori!$A$2:$C$6,2,FALSE())</f>
        <v>Pneumax Service</v>
      </c>
      <c r="F105" s="0" t="n">
        <v>23</v>
      </c>
      <c r="G105" s="0" t="n">
        <v>12</v>
      </c>
      <c r="H105" s="0" t="str">
        <f aca="false">IF(F105&lt;G105,"SI","NO")</f>
        <v>NO</v>
      </c>
    </row>
    <row r="106" customFormat="false" ht="15" hidden="false" customHeight="false" outlineLevel="0" collapsed="false">
      <c r="A106" s="0" t="s">
        <v>320</v>
      </c>
      <c r="B106" s="0" t="s">
        <v>321</v>
      </c>
      <c r="C106" s="0" t="s">
        <v>322</v>
      </c>
      <c r="D106" s="2" t="s">
        <v>27</v>
      </c>
      <c r="E106" s="0" t="str">
        <f aca="false">VLOOKUP(D106,Fornitori!$A$2:$C$6,2,FALSE())</f>
        <v>Guarnizioni Alpi</v>
      </c>
      <c r="F106" s="0" t="n">
        <v>0</v>
      </c>
      <c r="G106" s="0" t="n">
        <v>20</v>
      </c>
      <c r="H106" s="0" t="str">
        <f aca="false">IF(F106&lt;G106,"SI","NO")</f>
        <v>SI</v>
      </c>
    </row>
    <row r="107" customFormat="false" ht="15" hidden="false" customHeight="false" outlineLevel="0" collapsed="false">
      <c r="A107" s="0" t="s">
        <v>323</v>
      </c>
      <c r="B107" s="0" t="s">
        <v>324</v>
      </c>
      <c r="C107" s="0" t="s">
        <v>325</v>
      </c>
      <c r="D107" s="2" t="s">
        <v>11</v>
      </c>
      <c r="E107" s="0" t="str">
        <f aca="false">VLOOKUP(D107,Fornitori!$A$2:$C$6,2,FALSE())</f>
        <v>Meccanica Bassi S.r.l.</v>
      </c>
      <c r="F107" s="0" t="n">
        <v>26</v>
      </c>
      <c r="G107" s="0" t="n">
        <v>16</v>
      </c>
      <c r="H107" s="0" t="str">
        <f aca="false">IF(F107&lt;G107,"SI","NO")</f>
        <v>NO</v>
      </c>
    </row>
    <row r="108" customFormat="false" ht="15" hidden="false" customHeight="false" outlineLevel="0" collapsed="false">
      <c r="A108" s="0" t="s">
        <v>326</v>
      </c>
      <c r="B108" s="0" t="s">
        <v>327</v>
      </c>
      <c r="C108" s="0" t="s">
        <v>328</v>
      </c>
      <c r="D108" s="2" t="s">
        <v>15</v>
      </c>
      <c r="E108" s="0" t="str">
        <f aca="false">VLOOKUP(D108,Fornitori!$A$2:$C$6,2,FALSE())</f>
        <v>Rulmeca Italia</v>
      </c>
      <c r="F108" s="0" t="n">
        <v>20</v>
      </c>
      <c r="G108" s="0" t="n">
        <v>15</v>
      </c>
      <c r="H108" s="0" t="str">
        <f aca="false">IF(F108&lt;G108,"SI","NO")</f>
        <v>NO</v>
      </c>
    </row>
    <row r="109" customFormat="false" ht="15" hidden="false" customHeight="false" outlineLevel="0" collapsed="false">
      <c r="A109" s="0" t="s">
        <v>329</v>
      </c>
      <c r="B109" s="0" t="s">
        <v>330</v>
      </c>
      <c r="C109" s="0" t="s">
        <v>331</v>
      </c>
      <c r="D109" s="2" t="s">
        <v>19</v>
      </c>
      <c r="E109" s="0" t="str">
        <f aca="false">VLOOKUP(D109,Fornitori!$A$2:$C$6,2,FALSE())</f>
        <v>Elettrotecnica Ferri</v>
      </c>
      <c r="F109" s="0" t="n">
        <v>57</v>
      </c>
      <c r="G109" s="0" t="n">
        <v>14</v>
      </c>
      <c r="H109" s="0" t="str">
        <f aca="false">IF(F109&lt;G109,"SI","NO")</f>
        <v>NO</v>
      </c>
    </row>
    <row r="110" customFormat="false" ht="15" hidden="false" customHeight="false" outlineLevel="0" collapsed="false">
      <c r="A110" s="0" t="s">
        <v>332</v>
      </c>
      <c r="B110" s="0" t="s">
        <v>333</v>
      </c>
      <c r="C110" s="0" t="s">
        <v>334</v>
      </c>
      <c r="D110" s="2" t="s">
        <v>23</v>
      </c>
      <c r="E110" s="0" t="str">
        <f aca="false">VLOOKUP(D110,Fornitori!$A$2:$C$6,2,FALSE())</f>
        <v>Pneumax Service</v>
      </c>
      <c r="F110" s="0" t="n">
        <v>55</v>
      </c>
      <c r="G110" s="0" t="n">
        <v>23</v>
      </c>
      <c r="H110" s="0" t="str">
        <f aca="false">IF(F110&lt;G110,"SI","NO")</f>
        <v>NO</v>
      </c>
    </row>
    <row r="111" customFormat="false" ht="15" hidden="false" customHeight="false" outlineLevel="0" collapsed="false">
      <c r="A111" s="0" t="s">
        <v>335</v>
      </c>
      <c r="B111" s="0" t="s">
        <v>336</v>
      </c>
      <c r="C111" s="0" t="s">
        <v>337</v>
      </c>
      <c r="D111" s="2" t="s">
        <v>27</v>
      </c>
      <c r="E111" s="0" t="str">
        <f aca="false">VLOOKUP(D111,Fornitori!$A$2:$C$6,2,FALSE())</f>
        <v>Guarnizioni Alpi</v>
      </c>
      <c r="F111" s="0" t="n">
        <v>3</v>
      </c>
      <c r="G111" s="0" t="n">
        <v>13</v>
      </c>
      <c r="H111" s="0" t="str">
        <f aca="false">IF(F111&lt;G111,"SI","NO")</f>
        <v>SI</v>
      </c>
    </row>
    <row r="112" customFormat="false" ht="15" hidden="false" customHeight="false" outlineLevel="0" collapsed="false">
      <c r="A112" s="0" t="s">
        <v>338</v>
      </c>
      <c r="B112" s="0" t="s">
        <v>339</v>
      </c>
      <c r="C112" s="0" t="s">
        <v>325</v>
      </c>
      <c r="D112" s="2" t="s">
        <v>11</v>
      </c>
      <c r="E112" s="0" t="str">
        <f aca="false">VLOOKUP(D112,Fornitori!$A$2:$C$6,2,FALSE())</f>
        <v>Meccanica Bassi S.r.l.</v>
      </c>
      <c r="F112" s="0" t="n">
        <v>15</v>
      </c>
      <c r="G112" s="0" t="n">
        <v>13</v>
      </c>
      <c r="H112" s="0" t="str">
        <f aca="false">IF(F112&lt;G112,"SI","NO")</f>
        <v>NO</v>
      </c>
    </row>
    <row r="113" customFormat="false" ht="15" hidden="false" customHeight="false" outlineLevel="0" collapsed="false">
      <c r="A113" s="0" t="s">
        <v>340</v>
      </c>
      <c r="B113" s="0" t="s">
        <v>341</v>
      </c>
      <c r="C113" s="0" t="s">
        <v>342</v>
      </c>
      <c r="D113" s="2" t="s">
        <v>15</v>
      </c>
      <c r="E113" s="0" t="str">
        <f aca="false">VLOOKUP(D113,Fornitori!$A$2:$C$6,2,FALSE())</f>
        <v>Rulmeca Italia</v>
      </c>
      <c r="F113" s="0" t="n">
        <v>23</v>
      </c>
      <c r="G113" s="0" t="n">
        <v>18</v>
      </c>
      <c r="H113" s="0" t="str">
        <f aca="false">IF(F113&lt;G113,"SI","NO")</f>
        <v>NO</v>
      </c>
    </row>
    <row r="114" customFormat="false" ht="15" hidden="false" customHeight="false" outlineLevel="0" collapsed="false">
      <c r="A114" s="0" t="s">
        <v>343</v>
      </c>
      <c r="B114" s="0" t="s">
        <v>344</v>
      </c>
      <c r="C114" s="0" t="s">
        <v>345</v>
      </c>
      <c r="D114" s="2" t="s">
        <v>19</v>
      </c>
      <c r="E114" s="0" t="str">
        <f aca="false">VLOOKUP(D114,Fornitori!$A$2:$C$6,2,FALSE())</f>
        <v>Elettrotecnica Ferri</v>
      </c>
      <c r="F114" s="0" t="n">
        <v>13</v>
      </c>
      <c r="G114" s="0" t="n">
        <v>7</v>
      </c>
      <c r="H114" s="0" t="str">
        <f aca="false">IF(F114&lt;G114,"SI","NO")</f>
        <v>NO</v>
      </c>
    </row>
    <row r="115" customFormat="false" ht="15" hidden="false" customHeight="false" outlineLevel="0" collapsed="false">
      <c r="A115" s="0" t="s">
        <v>346</v>
      </c>
      <c r="B115" s="0" t="s">
        <v>347</v>
      </c>
      <c r="C115" s="0" t="s">
        <v>348</v>
      </c>
      <c r="D115" s="2" t="s">
        <v>23</v>
      </c>
      <c r="E115" s="0" t="str">
        <f aca="false">VLOOKUP(D115,Fornitori!$A$2:$C$6,2,FALSE())</f>
        <v>Pneumax Service</v>
      </c>
      <c r="F115" s="0" t="n">
        <v>8</v>
      </c>
      <c r="G115" s="0" t="n">
        <v>14</v>
      </c>
      <c r="H115" s="0" t="str">
        <f aca="false">IF(F115&lt;G115,"SI","NO")</f>
        <v>SI</v>
      </c>
    </row>
    <row r="116" customFormat="false" ht="15" hidden="false" customHeight="false" outlineLevel="0" collapsed="false">
      <c r="A116" s="0" t="s">
        <v>349</v>
      </c>
      <c r="B116" s="0" t="s">
        <v>350</v>
      </c>
      <c r="C116" s="0" t="s">
        <v>351</v>
      </c>
      <c r="D116" s="2" t="s">
        <v>27</v>
      </c>
      <c r="E116" s="0" t="str">
        <f aca="false">VLOOKUP(D116,Fornitori!$A$2:$C$6,2,FALSE())</f>
        <v>Guarnizioni Alpi</v>
      </c>
      <c r="F116" s="0" t="n">
        <v>26</v>
      </c>
      <c r="G116" s="0" t="n">
        <v>15</v>
      </c>
      <c r="H116" s="0" t="str">
        <f aca="false">IF(F116&lt;G116,"SI","NO")</f>
        <v>NO</v>
      </c>
    </row>
    <row r="117" customFormat="false" ht="15" hidden="false" customHeight="false" outlineLevel="0" collapsed="false">
      <c r="A117" s="0" t="s">
        <v>352</v>
      </c>
      <c r="B117" s="0" t="s">
        <v>353</v>
      </c>
      <c r="C117" s="0" t="s">
        <v>354</v>
      </c>
      <c r="D117" s="2" t="s">
        <v>11</v>
      </c>
      <c r="E117" s="0" t="str">
        <f aca="false">VLOOKUP(D117,Fornitori!$A$2:$C$6,2,FALSE())</f>
        <v>Meccanica Bassi S.r.l.</v>
      </c>
      <c r="F117" s="0" t="n">
        <v>41</v>
      </c>
      <c r="G117" s="0" t="n">
        <v>13</v>
      </c>
      <c r="H117" s="0" t="str">
        <f aca="false">IF(F117&lt;G117,"SI","NO")</f>
        <v>NO</v>
      </c>
    </row>
    <row r="118" customFormat="false" ht="15" hidden="false" customHeight="false" outlineLevel="0" collapsed="false">
      <c r="A118" s="0" t="s">
        <v>355</v>
      </c>
      <c r="B118" s="0" t="s">
        <v>356</v>
      </c>
      <c r="C118" s="0" t="s">
        <v>357</v>
      </c>
      <c r="D118" s="2" t="s">
        <v>15</v>
      </c>
      <c r="E118" s="0" t="str">
        <f aca="false">VLOOKUP(D118,Fornitori!$A$2:$C$6,2,FALSE())</f>
        <v>Rulmeca Italia</v>
      </c>
      <c r="F118" s="0" t="n">
        <v>35</v>
      </c>
      <c r="G118" s="0" t="n">
        <v>17</v>
      </c>
      <c r="H118" s="0" t="str">
        <f aca="false">IF(F118&lt;G118,"SI","NO")</f>
        <v>NO</v>
      </c>
    </row>
    <row r="119" customFormat="false" ht="15" hidden="false" customHeight="false" outlineLevel="0" collapsed="false">
      <c r="A119" s="0" t="s">
        <v>358</v>
      </c>
      <c r="B119" s="0" t="s">
        <v>359</v>
      </c>
      <c r="C119" s="0" t="s">
        <v>360</v>
      </c>
      <c r="D119" s="2" t="s">
        <v>19</v>
      </c>
      <c r="E119" s="0" t="str">
        <f aca="false">VLOOKUP(D119,Fornitori!$A$2:$C$6,2,FALSE())</f>
        <v>Elettrotecnica Ferri</v>
      </c>
      <c r="F119" s="0" t="n">
        <v>32</v>
      </c>
      <c r="G119" s="0" t="n">
        <v>20</v>
      </c>
      <c r="H119" s="0" t="str">
        <f aca="false">IF(F119&lt;G119,"SI","NO")</f>
        <v>NO</v>
      </c>
    </row>
    <row r="120" customFormat="false" ht="15" hidden="false" customHeight="false" outlineLevel="0" collapsed="false">
      <c r="A120" s="0" t="s">
        <v>361</v>
      </c>
      <c r="B120" s="0" t="s">
        <v>362</v>
      </c>
      <c r="C120" s="0" t="s">
        <v>363</v>
      </c>
      <c r="D120" s="2" t="s">
        <v>23</v>
      </c>
      <c r="E120" s="0" t="str">
        <f aca="false">VLOOKUP(D120,Fornitori!$A$2:$C$6,2,FALSE())</f>
        <v>Pneumax Service</v>
      </c>
      <c r="F120" s="0" t="n">
        <v>8</v>
      </c>
      <c r="G120" s="0" t="n">
        <v>22</v>
      </c>
      <c r="H120" s="0" t="str">
        <f aca="false">IF(F120&lt;G120,"SI","NO")</f>
        <v>SI</v>
      </c>
    </row>
    <row r="121" customFormat="false" ht="15" hidden="false" customHeight="false" outlineLevel="0" collapsed="false">
      <c r="A121" s="0" t="s">
        <v>364</v>
      </c>
      <c r="B121" s="0" t="s">
        <v>365</v>
      </c>
      <c r="C121" s="0" t="s">
        <v>366</v>
      </c>
      <c r="D121" s="2" t="s">
        <v>27</v>
      </c>
      <c r="E121" s="0" t="str">
        <f aca="false">VLOOKUP(D121,Fornitori!$A$2:$C$6,2,FALSE())</f>
        <v>Guarnizioni Alpi</v>
      </c>
      <c r="F121" s="0" t="n">
        <v>35</v>
      </c>
      <c r="G121" s="0" t="n">
        <v>7</v>
      </c>
      <c r="H121" s="0" t="str">
        <f aca="false">IF(F121&lt;G121,"SI","NO")</f>
        <v>NO</v>
      </c>
    </row>
    <row r="122" customFormat="false" ht="15" hidden="false" customHeight="false" outlineLevel="0" collapsed="false">
      <c r="A122" s="0" t="s">
        <v>367</v>
      </c>
      <c r="B122" s="0" t="s">
        <v>368</v>
      </c>
      <c r="C122" s="0" t="s">
        <v>369</v>
      </c>
      <c r="D122" s="2" t="s">
        <v>11</v>
      </c>
      <c r="E122" s="0" t="str">
        <f aca="false">VLOOKUP(D122,Fornitori!$A$2:$C$6,2,FALSE())</f>
        <v>Meccanica Bassi S.r.l.</v>
      </c>
      <c r="F122" s="0" t="n">
        <v>36</v>
      </c>
      <c r="G122" s="0" t="n">
        <v>11</v>
      </c>
      <c r="H122" s="0" t="str">
        <f aca="false">IF(F122&lt;G122,"SI","NO")</f>
        <v>NO</v>
      </c>
    </row>
    <row r="123" customFormat="false" ht="15" hidden="false" customHeight="false" outlineLevel="0" collapsed="false">
      <c r="A123" s="0" t="s">
        <v>370</v>
      </c>
      <c r="B123" s="0" t="s">
        <v>371</v>
      </c>
      <c r="C123" s="0" t="s">
        <v>372</v>
      </c>
      <c r="D123" s="2" t="s">
        <v>15</v>
      </c>
      <c r="E123" s="0" t="str">
        <f aca="false">VLOOKUP(D123,Fornitori!$A$2:$C$6,2,FALSE())</f>
        <v>Rulmeca Italia</v>
      </c>
      <c r="F123" s="0" t="n">
        <v>33</v>
      </c>
      <c r="G123" s="0" t="n">
        <v>11</v>
      </c>
      <c r="H123" s="0" t="str">
        <f aca="false">IF(F123&lt;G123,"SI","NO")</f>
        <v>NO</v>
      </c>
    </row>
    <row r="124" customFormat="false" ht="15" hidden="false" customHeight="false" outlineLevel="0" collapsed="false">
      <c r="A124" s="0" t="s">
        <v>373</v>
      </c>
      <c r="B124" s="0" t="s">
        <v>374</v>
      </c>
      <c r="C124" s="0" t="s">
        <v>375</v>
      </c>
      <c r="D124" s="2" t="s">
        <v>19</v>
      </c>
      <c r="E124" s="0" t="str">
        <f aca="false">VLOOKUP(D124,Fornitori!$A$2:$C$6,2,FALSE())</f>
        <v>Elettrotecnica Ferri</v>
      </c>
      <c r="F124" s="0" t="n">
        <v>17</v>
      </c>
      <c r="G124" s="0" t="n">
        <v>23</v>
      </c>
      <c r="H124" s="0" t="str">
        <f aca="false">IF(F124&lt;G124,"SI","NO")</f>
        <v>SI</v>
      </c>
    </row>
    <row r="125" customFormat="false" ht="15" hidden="false" customHeight="false" outlineLevel="0" collapsed="false">
      <c r="A125" s="0" t="s">
        <v>376</v>
      </c>
      <c r="B125" s="0" t="s">
        <v>318</v>
      </c>
      <c r="C125" s="0" t="s">
        <v>377</v>
      </c>
      <c r="D125" s="2" t="s">
        <v>23</v>
      </c>
      <c r="E125" s="0" t="str">
        <f aca="false">VLOOKUP(D125,Fornitori!$A$2:$C$6,2,FALSE())</f>
        <v>Pneumax Service</v>
      </c>
      <c r="F125" s="0" t="n">
        <v>57</v>
      </c>
      <c r="G125" s="0" t="n">
        <v>12</v>
      </c>
      <c r="H125" s="0" t="str">
        <f aca="false">IF(F125&lt;G125,"SI","NO")</f>
        <v>NO</v>
      </c>
    </row>
    <row r="126" customFormat="false" ht="15" hidden="false" customHeight="false" outlineLevel="0" collapsed="false">
      <c r="A126" s="0" t="s">
        <v>378</v>
      </c>
      <c r="B126" s="0" t="s">
        <v>379</v>
      </c>
      <c r="C126" s="0" t="s">
        <v>380</v>
      </c>
      <c r="D126" s="2" t="s">
        <v>27</v>
      </c>
      <c r="E126" s="0" t="str">
        <f aca="false">VLOOKUP(D126,Fornitori!$A$2:$C$6,2,FALSE())</f>
        <v>Guarnizioni Alpi</v>
      </c>
      <c r="F126" s="0" t="n">
        <v>54</v>
      </c>
      <c r="G126" s="0" t="n">
        <v>5</v>
      </c>
      <c r="H126" s="0" t="str">
        <f aca="false">IF(F126&lt;G126,"SI","NO")</f>
        <v>NO</v>
      </c>
    </row>
    <row r="127" customFormat="false" ht="15" hidden="false" customHeight="false" outlineLevel="0" collapsed="false">
      <c r="A127" s="0" t="s">
        <v>381</v>
      </c>
      <c r="B127" s="0" t="s">
        <v>382</v>
      </c>
      <c r="C127" s="0" t="s">
        <v>383</v>
      </c>
      <c r="D127" s="2" t="s">
        <v>11</v>
      </c>
      <c r="E127" s="0" t="str">
        <f aca="false">VLOOKUP(D127,Fornitori!$A$2:$C$6,2,FALSE())</f>
        <v>Meccanica Bassi S.r.l.</v>
      </c>
      <c r="F127" s="0" t="n">
        <v>57</v>
      </c>
      <c r="G127" s="0" t="n">
        <v>20</v>
      </c>
      <c r="H127" s="0" t="str">
        <f aca="false">IF(F127&lt;G127,"SI","NO")</f>
        <v>NO</v>
      </c>
    </row>
    <row r="128" customFormat="false" ht="15" hidden="false" customHeight="false" outlineLevel="0" collapsed="false">
      <c r="A128" s="0" t="s">
        <v>384</v>
      </c>
      <c r="B128" s="0" t="s">
        <v>385</v>
      </c>
      <c r="C128" s="0" t="s">
        <v>386</v>
      </c>
      <c r="D128" s="2" t="s">
        <v>15</v>
      </c>
      <c r="E128" s="0" t="str">
        <f aca="false">VLOOKUP(D128,Fornitori!$A$2:$C$6,2,FALSE())</f>
        <v>Rulmeca Italia</v>
      </c>
      <c r="F128" s="0" t="n">
        <v>33</v>
      </c>
      <c r="G128" s="0" t="n">
        <v>19</v>
      </c>
      <c r="H128" s="0" t="str">
        <f aca="false">IF(F128&lt;G128,"SI","NO")</f>
        <v>NO</v>
      </c>
    </row>
    <row r="129" customFormat="false" ht="15" hidden="false" customHeight="false" outlineLevel="0" collapsed="false">
      <c r="A129" s="0" t="s">
        <v>387</v>
      </c>
      <c r="B129" s="0" t="s">
        <v>388</v>
      </c>
      <c r="C129" s="0" t="s">
        <v>389</v>
      </c>
      <c r="D129" s="2" t="s">
        <v>19</v>
      </c>
      <c r="E129" s="0" t="str">
        <f aca="false">VLOOKUP(D129,Fornitori!$A$2:$C$6,2,FALSE())</f>
        <v>Elettrotecnica Ferri</v>
      </c>
      <c r="F129" s="0" t="n">
        <v>9</v>
      </c>
      <c r="G129" s="0" t="n">
        <v>21</v>
      </c>
      <c r="H129" s="0" t="str">
        <f aca="false">IF(F129&lt;G129,"SI","NO")</f>
        <v>SI</v>
      </c>
    </row>
    <row r="130" customFormat="false" ht="15" hidden="false" customHeight="false" outlineLevel="0" collapsed="false">
      <c r="A130" s="0" t="s">
        <v>390</v>
      </c>
      <c r="B130" s="0" t="s">
        <v>391</v>
      </c>
      <c r="C130" s="0" t="s">
        <v>392</v>
      </c>
      <c r="D130" s="2" t="s">
        <v>23</v>
      </c>
      <c r="E130" s="0" t="str">
        <f aca="false">VLOOKUP(D130,Fornitori!$A$2:$C$6,2,FALSE())</f>
        <v>Pneumax Service</v>
      </c>
      <c r="F130" s="0" t="n">
        <v>49</v>
      </c>
      <c r="G130" s="0" t="n">
        <v>6</v>
      </c>
      <c r="H130" s="0" t="str">
        <f aca="false">IF(F130&lt;G130,"SI","NO")</f>
        <v>NO</v>
      </c>
    </row>
    <row r="131" customFormat="false" ht="15" hidden="false" customHeight="false" outlineLevel="0" collapsed="false">
      <c r="A131" s="0" t="s">
        <v>393</v>
      </c>
      <c r="B131" s="0" t="s">
        <v>394</v>
      </c>
      <c r="C131" s="0" t="s">
        <v>395</v>
      </c>
      <c r="D131" s="2" t="s">
        <v>27</v>
      </c>
      <c r="E131" s="0" t="str">
        <f aca="false">VLOOKUP(D131,Fornitori!$A$2:$C$6,2,FALSE())</f>
        <v>Guarnizioni Alpi</v>
      </c>
      <c r="F131" s="0" t="n">
        <v>41</v>
      </c>
      <c r="G131" s="0" t="n">
        <v>14</v>
      </c>
      <c r="H131" s="0" t="str">
        <f aca="false">IF(F131&lt;G131,"SI","NO")</f>
        <v>NO</v>
      </c>
    </row>
    <row r="132" customFormat="false" ht="15" hidden="false" customHeight="false" outlineLevel="0" collapsed="false">
      <c r="A132" s="0" t="s">
        <v>396</v>
      </c>
      <c r="B132" s="0" t="s">
        <v>397</v>
      </c>
      <c r="C132" s="0" t="s">
        <v>398</v>
      </c>
      <c r="D132" s="2" t="s">
        <v>11</v>
      </c>
      <c r="E132" s="0" t="str">
        <f aca="false">VLOOKUP(D132,Fornitori!$A$2:$C$6,2,FALSE())</f>
        <v>Meccanica Bassi S.r.l.</v>
      </c>
      <c r="F132" s="0" t="n">
        <v>27</v>
      </c>
      <c r="G132" s="0" t="n">
        <v>8</v>
      </c>
      <c r="H132" s="0" t="str">
        <f aca="false">IF(F132&lt;G132,"SI","NO")</f>
        <v>NO</v>
      </c>
    </row>
    <row r="133" customFormat="false" ht="15" hidden="false" customHeight="false" outlineLevel="0" collapsed="false">
      <c r="A133" s="0" t="s">
        <v>399</v>
      </c>
      <c r="B133" s="0" t="s">
        <v>400</v>
      </c>
      <c r="C133" s="0" t="s">
        <v>302</v>
      </c>
      <c r="D133" s="2" t="s">
        <v>15</v>
      </c>
      <c r="E133" s="0" t="str">
        <f aca="false">VLOOKUP(D133,Fornitori!$A$2:$C$6,2,FALSE())</f>
        <v>Rulmeca Italia</v>
      </c>
      <c r="F133" s="0" t="n">
        <v>12</v>
      </c>
      <c r="G133" s="0" t="n">
        <v>17</v>
      </c>
      <c r="H133" s="0" t="str">
        <f aca="false">IF(F133&lt;G133,"SI","NO")</f>
        <v>SI</v>
      </c>
    </row>
    <row r="134" customFormat="false" ht="15" hidden="false" customHeight="false" outlineLevel="0" collapsed="false">
      <c r="A134" s="0" t="s">
        <v>401</v>
      </c>
      <c r="B134" s="0" t="s">
        <v>402</v>
      </c>
      <c r="C134" s="0" t="s">
        <v>403</v>
      </c>
      <c r="D134" s="2" t="s">
        <v>19</v>
      </c>
      <c r="E134" s="0" t="str">
        <f aca="false">VLOOKUP(D134,Fornitori!$A$2:$C$6,2,FALSE())</f>
        <v>Elettrotecnica Ferri</v>
      </c>
      <c r="F134" s="0" t="n">
        <v>19</v>
      </c>
      <c r="G134" s="0" t="n">
        <v>19</v>
      </c>
      <c r="H134" s="0" t="str">
        <f aca="false">IF(F134&lt;G134,"SI","NO")</f>
        <v>NO</v>
      </c>
    </row>
    <row r="135" customFormat="false" ht="15" hidden="false" customHeight="false" outlineLevel="0" collapsed="false">
      <c r="A135" s="0" t="s">
        <v>404</v>
      </c>
      <c r="B135" s="0" t="s">
        <v>405</v>
      </c>
      <c r="C135" s="0" t="s">
        <v>406</v>
      </c>
      <c r="D135" s="2" t="s">
        <v>23</v>
      </c>
      <c r="E135" s="0" t="str">
        <f aca="false">VLOOKUP(D135,Fornitori!$A$2:$C$6,2,FALSE())</f>
        <v>Pneumax Service</v>
      </c>
      <c r="F135" s="0" t="n">
        <v>15</v>
      </c>
      <c r="G135" s="0" t="n">
        <v>22</v>
      </c>
      <c r="H135" s="0" t="str">
        <f aca="false">IF(F135&lt;G135,"SI","NO")</f>
        <v>SI</v>
      </c>
    </row>
    <row r="136" customFormat="false" ht="15" hidden="false" customHeight="false" outlineLevel="0" collapsed="false">
      <c r="A136" s="0" t="s">
        <v>407</v>
      </c>
      <c r="B136" s="0" t="s">
        <v>408</v>
      </c>
      <c r="C136" s="0" t="s">
        <v>409</v>
      </c>
      <c r="D136" s="2" t="s">
        <v>27</v>
      </c>
      <c r="E136" s="0" t="str">
        <f aca="false">VLOOKUP(D136,Fornitori!$A$2:$C$6,2,FALSE())</f>
        <v>Guarnizioni Alpi</v>
      </c>
      <c r="F136" s="0" t="n">
        <v>19</v>
      </c>
      <c r="G136" s="0" t="n">
        <v>6</v>
      </c>
      <c r="H136" s="0" t="str">
        <f aca="false">IF(F136&lt;G136,"SI","NO")</f>
        <v>NO</v>
      </c>
    </row>
    <row r="137" customFormat="false" ht="15" hidden="false" customHeight="false" outlineLevel="0" collapsed="false">
      <c r="A137" s="0" t="s">
        <v>410</v>
      </c>
      <c r="B137" s="0" t="s">
        <v>411</v>
      </c>
      <c r="C137" s="0" t="s">
        <v>412</v>
      </c>
      <c r="D137" s="2" t="s">
        <v>11</v>
      </c>
      <c r="E137" s="0" t="str">
        <f aca="false">VLOOKUP(D137,Fornitori!$A$2:$C$6,2,FALSE())</f>
        <v>Meccanica Bassi S.r.l.</v>
      </c>
      <c r="F137" s="0" t="n">
        <v>26</v>
      </c>
      <c r="G137" s="0" t="n">
        <v>7</v>
      </c>
      <c r="H137" s="0" t="str">
        <f aca="false">IF(F137&lt;G137,"SI","NO")</f>
        <v>NO</v>
      </c>
    </row>
    <row r="138" customFormat="false" ht="15" hidden="false" customHeight="false" outlineLevel="0" collapsed="false">
      <c r="A138" s="0" t="s">
        <v>413</v>
      </c>
      <c r="B138" s="0" t="s">
        <v>414</v>
      </c>
      <c r="C138" s="0" t="s">
        <v>415</v>
      </c>
      <c r="D138" s="2" t="s">
        <v>15</v>
      </c>
      <c r="E138" s="0" t="str">
        <f aca="false">VLOOKUP(D138,Fornitori!$A$2:$C$6,2,FALSE())</f>
        <v>Rulmeca Italia</v>
      </c>
      <c r="F138" s="0" t="n">
        <v>31</v>
      </c>
      <c r="G138" s="0" t="n">
        <v>6</v>
      </c>
      <c r="H138" s="0" t="str">
        <f aca="false">IF(F138&lt;G138,"SI","NO")</f>
        <v>NO</v>
      </c>
    </row>
    <row r="139" customFormat="false" ht="15" hidden="false" customHeight="false" outlineLevel="0" collapsed="false">
      <c r="A139" s="0" t="s">
        <v>416</v>
      </c>
      <c r="B139" s="0" t="s">
        <v>417</v>
      </c>
      <c r="C139" s="0" t="s">
        <v>418</v>
      </c>
      <c r="D139" s="2" t="s">
        <v>19</v>
      </c>
      <c r="E139" s="0" t="str">
        <f aca="false">VLOOKUP(D139,Fornitori!$A$2:$C$6,2,FALSE())</f>
        <v>Elettrotecnica Ferri</v>
      </c>
      <c r="F139" s="0" t="n">
        <v>12</v>
      </c>
      <c r="G139" s="0" t="n">
        <v>5</v>
      </c>
      <c r="H139" s="0" t="str">
        <f aca="false">IF(F139&lt;G139,"SI","NO")</f>
        <v>NO</v>
      </c>
    </row>
    <row r="140" customFormat="false" ht="15" hidden="false" customHeight="false" outlineLevel="0" collapsed="false">
      <c r="A140" s="0" t="s">
        <v>419</v>
      </c>
      <c r="B140" s="0" t="s">
        <v>420</v>
      </c>
      <c r="C140" s="0" t="s">
        <v>421</v>
      </c>
      <c r="D140" s="2" t="s">
        <v>23</v>
      </c>
      <c r="E140" s="0" t="str">
        <f aca="false">VLOOKUP(D140,Fornitori!$A$2:$C$6,2,FALSE())</f>
        <v>Pneumax Service</v>
      </c>
      <c r="F140" s="0" t="n">
        <v>12</v>
      </c>
      <c r="G140" s="0" t="n">
        <v>14</v>
      </c>
      <c r="H140" s="0" t="str">
        <f aca="false">IF(F140&lt;G140,"SI","NO")</f>
        <v>SI</v>
      </c>
    </row>
    <row r="141" customFormat="false" ht="15" hidden="false" customHeight="false" outlineLevel="0" collapsed="false">
      <c r="A141" s="0" t="s">
        <v>422</v>
      </c>
      <c r="B141" s="0" t="s">
        <v>423</v>
      </c>
      <c r="C141" s="0" t="s">
        <v>424</v>
      </c>
      <c r="D141" s="2" t="s">
        <v>27</v>
      </c>
      <c r="E141" s="0" t="str">
        <f aca="false">VLOOKUP(D141,Fornitori!$A$2:$C$6,2,FALSE())</f>
        <v>Guarnizioni Alpi</v>
      </c>
      <c r="F141" s="0" t="n">
        <v>48</v>
      </c>
      <c r="G141" s="0" t="n">
        <v>14</v>
      </c>
      <c r="H141" s="0" t="str">
        <f aca="false">IF(F141&lt;G141,"SI","NO")</f>
        <v>NO</v>
      </c>
    </row>
    <row r="142" customFormat="false" ht="15" hidden="false" customHeight="false" outlineLevel="0" collapsed="false">
      <c r="A142" s="0" t="s">
        <v>425</v>
      </c>
      <c r="B142" s="0" t="s">
        <v>426</v>
      </c>
      <c r="C142" s="0" t="s">
        <v>427</v>
      </c>
      <c r="D142" s="2" t="s">
        <v>11</v>
      </c>
      <c r="E142" s="0" t="str">
        <f aca="false">VLOOKUP(D142,Fornitori!$A$2:$C$6,2,FALSE())</f>
        <v>Meccanica Bassi S.r.l.</v>
      </c>
      <c r="F142" s="0" t="n">
        <v>57</v>
      </c>
      <c r="G142" s="0" t="n">
        <v>12</v>
      </c>
      <c r="H142" s="0" t="str">
        <f aca="false">IF(F142&lt;G142,"SI","NO")</f>
        <v>NO</v>
      </c>
    </row>
    <row r="143" customFormat="false" ht="15" hidden="false" customHeight="false" outlineLevel="0" collapsed="false">
      <c r="A143" s="0" t="s">
        <v>428</v>
      </c>
      <c r="B143" s="0" t="s">
        <v>429</v>
      </c>
      <c r="C143" s="0" t="s">
        <v>430</v>
      </c>
      <c r="D143" s="2" t="s">
        <v>15</v>
      </c>
      <c r="E143" s="0" t="str">
        <f aca="false">VLOOKUP(D143,Fornitori!$A$2:$C$6,2,FALSE())</f>
        <v>Rulmeca Italia</v>
      </c>
      <c r="F143" s="0" t="n">
        <v>59</v>
      </c>
      <c r="G143" s="0" t="n">
        <v>17</v>
      </c>
      <c r="H143" s="0" t="str">
        <f aca="false">IF(F143&lt;G143,"SI","NO")</f>
        <v>NO</v>
      </c>
    </row>
    <row r="144" customFormat="false" ht="15" hidden="false" customHeight="false" outlineLevel="0" collapsed="false">
      <c r="A144" s="0" t="s">
        <v>431</v>
      </c>
      <c r="B144" s="0" t="s">
        <v>432</v>
      </c>
      <c r="C144" s="0" t="s">
        <v>430</v>
      </c>
      <c r="D144" s="2" t="s">
        <v>19</v>
      </c>
      <c r="E144" s="0" t="str">
        <f aca="false">VLOOKUP(D144,Fornitori!$A$2:$C$6,2,FALSE())</f>
        <v>Elettrotecnica Ferri</v>
      </c>
      <c r="F144" s="0" t="n">
        <v>26</v>
      </c>
      <c r="G144" s="0" t="n">
        <v>6</v>
      </c>
      <c r="H144" s="0" t="str">
        <f aca="false">IF(F144&lt;G144,"SI","NO")</f>
        <v>NO</v>
      </c>
    </row>
    <row r="145" customFormat="false" ht="15" hidden="false" customHeight="false" outlineLevel="0" collapsed="false">
      <c r="A145" s="0" t="s">
        <v>433</v>
      </c>
      <c r="B145" s="0" t="s">
        <v>434</v>
      </c>
      <c r="C145" s="0" t="s">
        <v>435</v>
      </c>
      <c r="D145" s="2" t="s">
        <v>23</v>
      </c>
      <c r="E145" s="0" t="str">
        <f aca="false">VLOOKUP(D145,Fornitori!$A$2:$C$6,2,FALSE())</f>
        <v>Pneumax Service</v>
      </c>
      <c r="F145" s="0" t="n">
        <v>45</v>
      </c>
      <c r="G145" s="0" t="n">
        <v>15</v>
      </c>
      <c r="H145" s="0" t="str">
        <f aca="false">IF(F145&lt;G145,"SI","NO")</f>
        <v>NO</v>
      </c>
    </row>
    <row r="146" customFormat="false" ht="15" hidden="false" customHeight="false" outlineLevel="0" collapsed="false">
      <c r="A146" s="0" t="s">
        <v>436</v>
      </c>
      <c r="B146" s="0" t="s">
        <v>437</v>
      </c>
      <c r="C146" s="0" t="s">
        <v>438</v>
      </c>
      <c r="D146" s="2" t="s">
        <v>27</v>
      </c>
      <c r="E146" s="0" t="str">
        <f aca="false">VLOOKUP(D146,Fornitori!$A$2:$C$6,2,FALSE())</f>
        <v>Guarnizioni Alpi</v>
      </c>
      <c r="F146" s="0" t="n">
        <v>11</v>
      </c>
      <c r="G146" s="0" t="n">
        <v>21</v>
      </c>
      <c r="H146" s="0" t="str">
        <f aca="false">IF(F146&lt;G146,"SI","NO")</f>
        <v>SI</v>
      </c>
    </row>
    <row r="147" customFormat="false" ht="15" hidden="false" customHeight="false" outlineLevel="0" collapsed="false">
      <c r="A147" s="0" t="s">
        <v>439</v>
      </c>
      <c r="B147" s="0" t="s">
        <v>440</v>
      </c>
      <c r="C147" s="0" t="s">
        <v>354</v>
      </c>
      <c r="D147" s="2" t="s">
        <v>11</v>
      </c>
      <c r="E147" s="0" t="str">
        <f aca="false">VLOOKUP(D147,Fornitori!$A$2:$C$6,2,FALSE())</f>
        <v>Meccanica Bassi S.r.l.</v>
      </c>
      <c r="F147" s="0" t="n">
        <v>24</v>
      </c>
      <c r="G147" s="0" t="n">
        <v>16</v>
      </c>
      <c r="H147" s="0" t="str">
        <f aca="false">IF(F147&lt;G147,"SI","NO")</f>
        <v>NO</v>
      </c>
    </row>
    <row r="148" customFormat="false" ht="15" hidden="false" customHeight="false" outlineLevel="0" collapsed="false">
      <c r="A148" s="0" t="s">
        <v>441</v>
      </c>
      <c r="B148" s="0" t="s">
        <v>442</v>
      </c>
      <c r="C148" s="0" t="s">
        <v>443</v>
      </c>
      <c r="D148" s="2" t="s">
        <v>15</v>
      </c>
      <c r="E148" s="0" t="str">
        <f aca="false">VLOOKUP(D148,Fornitori!$A$2:$C$6,2,FALSE())</f>
        <v>Rulmeca Italia</v>
      </c>
      <c r="F148" s="0" t="n">
        <v>5</v>
      </c>
      <c r="G148" s="0" t="n">
        <v>13</v>
      </c>
      <c r="H148" s="0" t="str">
        <f aca="false">IF(F148&lt;G148,"SI","NO")</f>
        <v>SI</v>
      </c>
    </row>
    <row r="149" customFormat="false" ht="15" hidden="false" customHeight="false" outlineLevel="0" collapsed="false">
      <c r="A149" s="0" t="s">
        <v>444</v>
      </c>
      <c r="B149" s="0" t="s">
        <v>445</v>
      </c>
      <c r="C149" s="0" t="s">
        <v>446</v>
      </c>
      <c r="D149" s="2" t="s">
        <v>19</v>
      </c>
      <c r="E149" s="0" t="str">
        <f aca="false">VLOOKUP(D149,Fornitori!$A$2:$C$6,2,FALSE())</f>
        <v>Elettrotecnica Ferri</v>
      </c>
      <c r="F149" s="0" t="n">
        <v>48</v>
      </c>
      <c r="G149" s="0" t="n">
        <v>11</v>
      </c>
      <c r="H149" s="0" t="str">
        <f aca="false">IF(F149&lt;G149,"SI","NO")</f>
        <v>NO</v>
      </c>
    </row>
    <row r="150" customFormat="false" ht="15" hidden="false" customHeight="false" outlineLevel="0" collapsed="false">
      <c r="A150" s="0" t="s">
        <v>447</v>
      </c>
      <c r="B150" s="0" t="s">
        <v>448</v>
      </c>
      <c r="C150" s="0" t="s">
        <v>449</v>
      </c>
      <c r="D150" s="2" t="s">
        <v>23</v>
      </c>
      <c r="E150" s="0" t="str">
        <f aca="false">VLOOKUP(D150,Fornitori!$A$2:$C$6,2,FALSE())</f>
        <v>Pneumax Service</v>
      </c>
      <c r="F150" s="0" t="n">
        <v>3</v>
      </c>
      <c r="G150" s="0" t="n">
        <v>20</v>
      </c>
      <c r="H150" s="0" t="str">
        <f aca="false">IF(F150&lt;G150,"SI","NO")</f>
        <v>SI</v>
      </c>
    </row>
    <row r="151" customFormat="false" ht="15" hidden="false" customHeight="false" outlineLevel="0" collapsed="false">
      <c r="A151" s="0" t="s">
        <v>450</v>
      </c>
      <c r="B151" s="0" t="s">
        <v>451</v>
      </c>
      <c r="C151" s="0" t="s">
        <v>452</v>
      </c>
      <c r="D151" s="2" t="s">
        <v>27</v>
      </c>
      <c r="E151" s="0" t="str">
        <f aca="false">VLOOKUP(D151,Fornitori!$A$2:$C$6,2,FALSE())</f>
        <v>Guarnizioni Alpi</v>
      </c>
      <c r="F151" s="0" t="n">
        <v>23</v>
      </c>
      <c r="G151" s="0" t="n">
        <v>20</v>
      </c>
      <c r="H151" s="0" t="str">
        <f aca="false">IF(F151&lt;G151,"SI","NO")</f>
        <v>NO</v>
      </c>
    </row>
    <row r="152" customFormat="false" ht="15" hidden="false" customHeight="false" outlineLevel="0" collapsed="false">
      <c r="A152" s="0" t="s">
        <v>453</v>
      </c>
      <c r="B152" s="0" t="s">
        <v>454</v>
      </c>
      <c r="C152" s="0" t="s">
        <v>455</v>
      </c>
      <c r="D152" s="2" t="s">
        <v>11</v>
      </c>
      <c r="E152" s="0" t="str">
        <f aca="false">VLOOKUP(D152,Fornitori!$A$2:$C$6,2,FALSE())</f>
        <v>Meccanica Bassi S.r.l.</v>
      </c>
      <c r="F152" s="0" t="n">
        <v>40</v>
      </c>
      <c r="G152" s="0" t="n">
        <v>17</v>
      </c>
      <c r="H152" s="0" t="str">
        <f aca="false">IF(F152&lt;G152,"SI","NO")</f>
        <v>NO</v>
      </c>
    </row>
    <row r="153" customFormat="false" ht="15" hidden="false" customHeight="false" outlineLevel="0" collapsed="false">
      <c r="A153" s="0" t="s">
        <v>456</v>
      </c>
      <c r="B153" s="0" t="s">
        <v>457</v>
      </c>
      <c r="C153" s="0" t="s">
        <v>458</v>
      </c>
      <c r="D153" s="2" t="s">
        <v>15</v>
      </c>
      <c r="E153" s="0" t="str">
        <f aca="false">VLOOKUP(D153,Fornitori!$A$2:$C$6,2,FALSE())</f>
        <v>Rulmeca Italia</v>
      </c>
      <c r="F153" s="0" t="n">
        <v>51</v>
      </c>
      <c r="G153" s="0" t="n">
        <v>6</v>
      </c>
      <c r="H153" s="0" t="str">
        <f aca="false">IF(F153&lt;G153,"SI","NO")</f>
        <v>NO</v>
      </c>
    </row>
    <row r="154" customFormat="false" ht="15" hidden="false" customHeight="false" outlineLevel="0" collapsed="false">
      <c r="A154" s="0" t="s">
        <v>459</v>
      </c>
      <c r="B154" s="0" t="s">
        <v>460</v>
      </c>
      <c r="C154" s="0" t="s">
        <v>461</v>
      </c>
      <c r="D154" s="2" t="s">
        <v>19</v>
      </c>
      <c r="E154" s="0" t="str">
        <f aca="false">VLOOKUP(D154,Fornitori!$A$2:$C$6,2,FALSE())</f>
        <v>Elettrotecnica Ferri</v>
      </c>
      <c r="F154" s="0" t="n">
        <v>23</v>
      </c>
      <c r="G154" s="0" t="n">
        <v>13</v>
      </c>
      <c r="H154" s="0" t="str">
        <f aca="false">IF(F154&lt;G154,"SI","NO")</f>
        <v>NO</v>
      </c>
    </row>
    <row r="155" customFormat="false" ht="15" hidden="false" customHeight="false" outlineLevel="0" collapsed="false">
      <c r="A155" s="0" t="s">
        <v>462</v>
      </c>
      <c r="B155" s="0" t="s">
        <v>83</v>
      </c>
      <c r="C155" s="0" t="s">
        <v>463</v>
      </c>
      <c r="D155" s="2" t="s">
        <v>23</v>
      </c>
      <c r="E155" s="0" t="str">
        <f aca="false">VLOOKUP(D155,Fornitori!$A$2:$C$6,2,FALSE())</f>
        <v>Pneumax Service</v>
      </c>
      <c r="F155" s="0" t="n">
        <v>45</v>
      </c>
      <c r="G155" s="0" t="n">
        <v>15</v>
      </c>
      <c r="H155" s="0" t="str">
        <f aca="false">IF(F155&lt;G155,"SI","NO")</f>
        <v>NO</v>
      </c>
    </row>
    <row r="156" customFormat="false" ht="15" hidden="false" customHeight="false" outlineLevel="0" collapsed="false">
      <c r="A156" s="0" t="s">
        <v>464</v>
      </c>
      <c r="B156" s="0" t="s">
        <v>465</v>
      </c>
      <c r="C156" s="0" t="s">
        <v>466</v>
      </c>
      <c r="D156" s="2" t="s">
        <v>27</v>
      </c>
      <c r="E156" s="0" t="str">
        <f aca="false">VLOOKUP(D156,Fornitori!$A$2:$C$6,2,FALSE())</f>
        <v>Guarnizioni Alpi</v>
      </c>
      <c r="F156" s="0" t="n">
        <v>38</v>
      </c>
      <c r="G156" s="0" t="n">
        <v>7</v>
      </c>
      <c r="H156" s="0" t="str">
        <f aca="false">IF(F156&lt;G156,"SI","NO")</f>
        <v>NO</v>
      </c>
    </row>
    <row r="157" customFormat="false" ht="15" hidden="false" customHeight="false" outlineLevel="0" collapsed="false">
      <c r="A157" s="0" t="s">
        <v>467</v>
      </c>
      <c r="B157" s="0" t="s">
        <v>468</v>
      </c>
      <c r="C157" s="0" t="s">
        <v>469</v>
      </c>
      <c r="D157" s="2" t="s">
        <v>11</v>
      </c>
      <c r="E157" s="0" t="str">
        <f aca="false">VLOOKUP(D157,Fornitori!$A$2:$C$6,2,FALSE())</f>
        <v>Meccanica Bassi S.r.l.</v>
      </c>
      <c r="F157" s="0" t="n">
        <v>29</v>
      </c>
      <c r="G157" s="0" t="n">
        <v>17</v>
      </c>
      <c r="H157" s="0" t="str">
        <f aca="false">IF(F157&lt;G157,"SI","NO")</f>
        <v>NO</v>
      </c>
    </row>
    <row r="158" customFormat="false" ht="15" hidden="false" customHeight="false" outlineLevel="0" collapsed="false">
      <c r="A158" s="0" t="s">
        <v>470</v>
      </c>
      <c r="B158" s="0" t="s">
        <v>471</v>
      </c>
      <c r="C158" s="0" t="s">
        <v>472</v>
      </c>
      <c r="D158" s="2" t="s">
        <v>15</v>
      </c>
      <c r="E158" s="0" t="str">
        <f aca="false">VLOOKUP(D158,Fornitori!$A$2:$C$6,2,FALSE())</f>
        <v>Rulmeca Italia</v>
      </c>
      <c r="F158" s="0" t="n">
        <v>11</v>
      </c>
      <c r="G158" s="0" t="n">
        <v>5</v>
      </c>
      <c r="H158" s="0" t="str">
        <f aca="false">IF(F158&lt;G158,"SI","NO")</f>
        <v>NO</v>
      </c>
    </row>
    <row r="159" customFormat="false" ht="15" hidden="false" customHeight="false" outlineLevel="0" collapsed="false">
      <c r="A159" s="0" t="s">
        <v>473</v>
      </c>
      <c r="B159" s="0" t="s">
        <v>474</v>
      </c>
      <c r="C159" s="0" t="s">
        <v>475</v>
      </c>
      <c r="D159" s="2" t="s">
        <v>19</v>
      </c>
      <c r="E159" s="0" t="str">
        <f aca="false">VLOOKUP(D159,Fornitori!$A$2:$C$6,2,FALSE())</f>
        <v>Elettrotecnica Ferri</v>
      </c>
      <c r="F159" s="0" t="n">
        <v>20</v>
      </c>
      <c r="G159" s="0" t="n">
        <v>15</v>
      </c>
      <c r="H159" s="0" t="str">
        <f aca="false">IF(F159&lt;G159,"SI","NO")</f>
        <v>NO</v>
      </c>
    </row>
    <row r="160" customFormat="false" ht="15" hidden="false" customHeight="false" outlineLevel="0" collapsed="false">
      <c r="A160" s="0" t="s">
        <v>476</v>
      </c>
      <c r="B160" s="0" t="s">
        <v>477</v>
      </c>
      <c r="C160" s="0" t="s">
        <v>478</v>
      </c>
      <c r="D160" s="2" t="s">
        <v>23</v>
      </c>
      <c r="E160" s="0" t="str">
        <f aca="false">VLOOKUP(D160,Fornitori!$A$2:$C$6,2,FALSE())</f>
        <v>Pneumax Service</v>
      </c>
      <c r="F160" s="0" t="n">
        <v>25</v>
      </c>
      <c r="G160" s="0" t="n">
        <v>10</v>
      </c>
      <c r="H160" s="0" t="str">
        <f aca="false">IF(F160&lt;G160,"SI","NO")</f>
        <v>NO</v>
      </c>
    </row>
    <row r="161" customFormat="false" ht="15" hidden="false" customHeight="false" outlineLevel="0" collapsed="false">
      <c r="A161" s="0" t="s">
        <v>479</v>
      </c>
      <c r="B161" s="0" t="s">
        <v>480</v>
      </c>
      <c r="C161" s="0" t="s">
        <v>481</v>
      </c>
      <c r="D161" s="2" t="s">
        <v>27</v>
      </c>
      <c r="E161" s="0" t="str">
        <f aca="false">VLOOKUP(D161,Fornitori!$A$2:$C$6,2,FALSE())</f>
        <v>Guarnizioni Alpi</v>
      </c>
      <c r="F161" s="0" t="n">
        <v>30</v>
      </c>
      <c r="G161" s="0" t="n">
        <v>22</v>
      </c>
      <c r="H161" s="0" t="str">
        <f aca="false">IF(F161&lt;G161,"SI","NO")</f>
        <v>NO</v>
      </c>
    </row>
    <row r="162" customFormat="false" ht="15" hidden="false" customHeight="false" outlineLevel="0" collapsed="false">
      <c r="A162" s="0" t="s">
        <v>482</v>
      </c>
      <c r="B162" s="0" t="s">
        <v>483</v>
      </c>
      <c r="C162" s="0" t="s">
        <v>484</v>
      </c>
      <c r="D162" s="2" t="s">
        <v>11</v>
      </c>
      <c r="E162" s="0" t="str">
        <f aca="false">VLOOKUP(D162,Fornitori!$A$2:$C$6,2,FALSE())</f>
        <v>Meccanica Bassi S.r.l.</v>
      </c>
      <c r="F162" s="0" t="n">
        <v>16</v>
      </c>
      <c r="G162" s="0" t="n">
        <v>24</v>
      </c>
      <c r="H162" s="0" t="str">
        <f aca="false">IF(F162&lt;G162,"SI","NO")</f>
        <v>SI</v>
      </c>
    </row>
    <row r="163" customFormat="false" ht="15" hidden="false" customHeight="false" outlineLevel="0" collapsed="false">
      <c r="A163" s="0" t="s">
        <v>485</v>
      </c>
      <c r="B163" s="0" t="s">
        <v>486</v>
      </c>
      <c r="C163" s="0" t="s">
        <v>487</v>
      </c>
      <c r="D163" s="2" t="s">
        <v>15</v>
      </c>
      <c r="E163" s="0" t="str">
        <f aca="false">VLOOKUP(D163,Fornitori!$A$2:$C$6,2,FALSE())</f>
        <v>Rulmeca Italia</v>
      </c>
      <c r="F163" s="0" t="n">
        <v>45</v>
      </c>
      <c r="G163" s="0" t="n">
        <v>19</v>
      </c>
      <c r="H163" s="0" t="str">
        <f aca="false">IF(F163&lt;G163,"SI","NO")</f>
        <v>NO</v>
      </c>
    </row>
    <row r="164" customFormat="false" ht="15" hidden="false" customHeight="false" outlineLevel="0" collapsed="false">
      <c r="A164" s="0" t="s">
        <v>488</v>
      </c>
      <c r="B164" s="0" t="s">
        <v>489</v>
      </c>
      <c r="C164" s="0" t="s">
        <v>490</v>
      </c>
      <c r="D164" s="2" t="s">
        <v>19</v>
      </c>
      <c r="E164" s="0" t="str">
        <f aca="false">VLOOKUP(D164,Fornitori!$A$2:$C$6,2,FALSE())</f>
        <v>Elettrotecnica Ferri</v>
      </c>
      <c r="F164" s="0" t="n">
        <v>39</v>
      </c>
      <c r="G164" s="0" t="n">
        <v>12</v>
      </c>
      <c r="H164" s="0" t="str">
        <f aca="false">IF(F164&lt;G164,"SI","NO")</f>
        <v>NO</v>
      </c>
    </row>
    <row r="165" customFormat="false" ht="15" hidden="false" customHeight="false" outlineLevel="0" collapsed="false">
      <c r="A165" s="0" t="s">
        <v>491</v>
      </c>
      <c r="B165" s="0" t="s">
        <v>492</v>
      </c>
      <c r="C165" s="0" t="s">
        <v>493</v>
      </c>
      <c r="D165" s="2" t="s">
        <v>23</v>
      </c>
      <c r="E165" s="0" t="str">
        <f aca="false">VLOOKUP(D165,Fornitori!$A$2:$C$6,2,FALSE())</f>
        <v>Pneumax Service</v>
      </c>
      <c r="F165" s="0" t="n">
        <v>17</v>
      </c>
      <c r="G165" s="0" t="n">
        <v>16</v>
      </c>
      <c r="H165" s="0" t="str">
        <f aca="false">IF(F165&lt;G165,"SI","NO")</f>
        <v>NO</v>
      </c>
    </row>
    <row r="166" customFormat="false" ht="15" hidden="false" customHeight="false" outlineLevel="0" collapsed="false">
      <c r="A166" s="0" t="s">
        <v>494</v>
      </c>
      <c r="B166" s="0" t="s">
        <v>495</v>
      </c>
      <c r="C166" s="0" t="s">
        <v>496</v>
      </c>
      <c r="D166" s="2" t="s">
        <v>27</v>
      </c>
      <c r="E166" s="0" t="str">
        <f aca="false">VLOOKUP(D166,Fornitori!$A$2:$C$6,2,FALSE())</f>
        <v>Guarnizioni Alpi</v>
      </c>
      <c r="F166" s="0" t="n">
        <v>11</v>
      </c>
      <c r="G166" s="0" t="n">
        <v>12</v>
      </c>
      <c r="H166" s="0" t="str">
        <f aca="false">IF(F166&lt;G166,"SI","NO")</f>
        <v>SI</v>
      </c>
    </row>
    <row r="167" customFormat="false" ht="15" hidden="false" customHeight="false" outlineLevel="0" collapsed="false">
      <c r="A167" s="0" t="s">
        <v>497</v>
      </c>
      <c r="B167" s="0" t="s">
        <v>498</v>
      </c>
      <c r="C167" s="0" t="s">
        <v>499</v>
      </c>
      <c r="D167" s="2" t="s">
        <v>11</v>
      </c>
      <c r="E167" s="0" t="str">
        <f aca="false">VLOOKUP(D167,Fornitori!$A$2:$C$6,2,FALSE())</f>
        <v>Meccanica Bassi S.r.l.</v>
      </c>
      <c r="F167" s="0" t="n">
        <v>20</v>
      </c>
      <c r="G167" s="0" t="n">
        <v>7</v>
      </c>
      <c r="H167" s="0" t="str">
        <f aca="false">IF(F167&lt;G167,"SI","NO")</f>
        <v>NO</v>
      </c>
    </row>
    <row r="168" customFormat="false" ht="15" hidden="false" customHeight="false" outlineLevel="0" collapsed="false">
      <c r="A168" s="0" t="s">
        <v>500</v>
      </c>
      <c r="B168" s="0" t="s">
        <v>501</v>
      </c>
      <c r="C168" s="0" t="s">
        <v>502</v>
      </c>
      <c r="D168" s="2" t="s">
        <v>15</v>
      </c>
      <c r="E168" s="0" t="str">
        <f aca="false">VLOOKUP(D168,Fornitori!$A$2:$C$6,2,FALSE())</f>
        <v>Rulmeca Italia</v>
      </c>
      <c r="F168" s="0" t="n">
        <v>14</v>
      </c>
      <c r="G168" s="0" t="n">
        <v>8</v>
      </c>
      <c r="H168" s="0" t="str">
        <f aca="false">IF(F168&lt;G168,"SI","NO")</f>
        <v>NO</v>
      </c>
    </row>
    <row r="169" customFormat="false" ht="15" hidden="false" customHeight="false" outlineLevel="0" collapsed="false">
      <c r="A169" s="0" t="s">
        <v>503</v>
      </c>
      <c r="B169" s="0" t="s">
        <v>504</v>
      </c>
      <c r="C169" s="0" t="s">
        <v>505</v>
      </c>
      <c r="D169" s="2" t="s">
        <v>19</v>
      </c>
      <c r="E169" s="0" t="str">
        <f aca="false">VLOOKUP(D169,Fornitori!$A$2:$C$6,2,FALSE())</f>
        <v>Elettrotecnica Ferri</v>
      </c>
      <c r="F169" s="0" t="n">
        <v>56</v>
      </c>
      <c r="G169" s="0" t="n">
        <v>12</v>
      </c>
      <c r="H169" s="0" t="str">
        <f aca="false">IF(F169&lt;G169,"SI","NO")</f>
        <v>NO</v>
      </c>
    </row>
    <row r="170" customFormat="false" ht="15" hidden="false" customHeight="false" outlineLevel="0" collapsed="false">
      <c r="A170" s="0" t="s">
        <v>506</v>
      </c>
      <c r="B170" s="0" t="s">
        <v>507</v>
      </c>
      <c r="C170" s="0" t="s">
        <v>508</v>
      </c>
      <c r="D170" s="2" t="s">
        <v>23</v>
      </c>
      <c r="E170" s="0" t="str">
        <f aca="false">VLOOKUP(D170,Fornitori!$A$2:$C$6,2,FALSE())</f>
        <v>Pneumax Service</v>
      </c>
      <c r="F170" s="0" t="n">
        <v>7</v>
      </c>
      <c r="G170" s="0" t="n">
        <v>6</v>
      </c>
      <c r="H170" s="0" t="str">
        <f aca="false">IF(F170&lt;G170,"SI","NO")</f>
        <v>NO</v>
      </c>
    </row>
    <row r="171" customFormat="false" ht="15" hidden="false" customHeight="false" outlineLevel="0" collapsed="false">
      <c r="A171" s="0" t="s">
        <v>509</v>
      </c>
      <c r="B171" s="0" t="s">
        <v>510</v>
      </c>
      <c r="C171" s="0" t="s">
        <v>511</v>
      </c>
      <c r="D171" s="2" t="s">
        <v>27</v>
      </c>
      <c r="E171" s="0" t="str">
        <f aca="false">VLOOKUP(D171,Fornitori!$A$2:$C$6,2,FALSE())</f>
        <v>Guarnizioni Alpi</v>
      </c>
      <c r="F171" s="0" t="n">
        <v>32</v>
      </c>
      <c r="G171" s="0" t="n">
        <v>10</v>
      </c>
      <c r="H171" s="0" t="str">
        <f aca="false">IF(F171&lt;G171,"SI","NO")</f>
        <v>NO</v>
      </c>
    </row>
    <row r="172" customFormat="false" ht="15" hidden="false" customHeight="false" outlineLevel="0" collapsed="false">
      <c r="A172" s="0" t="s">
        <v>512</v>
      </c>
      <c r="B172" s="0" t="s">
        <v>513</v>
      </c>
      <c r="C172" s="0" t="s">
        <v>514</v>
      </c>
      <c r="D172" s="2" t="s">
        <v>11</v>
      </c>
      <c r="E172" s="0" t="str">
        <f aca="false">VLOOKUP(D172,Fornitori!$A$2:$C$6,2,FALSE())</f>
        <v>Meccanica Bassi S.r.l.</v>
      </c>
      <c r="F172" s="0" t="n">
        <v>6</v>
      </c>
      <c r="G172" s="0" t="n">
        <v>24</v>
      </c>
      <c r="H172" s="0" t="str">
        <f aca="false">IF(F172&lt;G172,"SI","NO")</f>
        <v>SI</v>
      </c>
    </row>
    <row r="173" customFormat="false" ht="15" hidden="false" customHeight="false" outlineLevel="0" collapsed="false">
      <c r="A173" s="0" t="s">
        <v>515</v>
      </c>
      <c r="B173" s="0" t="s">
        <v>516</v>
      </c>
      <c r="C173" s="0" t="s">
        <v>517</v>
      </c>
      <c r="D173" s="2" t="s">
        <v>15</v>
      </c>
      <c r="E173" s="0" t="str">
        <f aca="false">VLOOKUP(D173,Fornitori!$A$2:$C$6,2,FALSE())</f>
        <v>Rulmeca Italia</v>
      </c>
      <c r="F173" s="0" t="n">
        <v>9</v>
      </c>
      <c r="G173" s="0" t="n">
        <v>6</v>
      </c>
      <c r="H173" s="0" t="str">
        <f aca="false">IF(F173&lt;G173,"SI","NO")</f>
        <v>NO</v>
      </c>
    </row>
    <row r="174" customFormat="false" ht="15" hidden="false" customHeight="false" outlineLevel="0" collapsed="false">
      <c r="A174" s="0" t="s">
        <v>518</v>
      </c>
      <c r="B174" s="0" t="s">
        <v>519</v>
      </c>
      <c r="C174" s="0" t="s">
        <v>520</v>
      </c>
      <c r="D174" s="2" t="s">
        <v>19</v>
      </c>
      <c r="E174" s="0" t="str">
        <f aca="false">VLOOKUP(D174,Fornitori!$A$2:$C$6,2,FALSE())</f>
        <v>Elettrotecnica Ferri</v>
      </c>
      <c r="F174" s="0" t="n">
        <v>41</v>
      </c>
      <c r="G174" s="0" t="n">
        <v>11</v>
      </c>
      <c r="H174" s="0" t="str">
        <f aca="false">IF(F174&lt;G174,"SI","NO")</f>
        <v>NO</v>
      </c>
    </row>
    <row r="175" customFormat="false" ht="15" hidden="false" customHeight="false" outlineLevel="0" collapsed="false">
      <c r="A175" s="0" t="s">
        <v>521</v>
      </c>
      <c r="B175" s="0" t="s">
        <v>522</v>
      </c>
      <c r="C175" s="0" t="s">
        <v>523</v>
      </c>
      <c r="D175" s="2" t="s">
        <v>23</v>
      </c>
      <c r="E175" s="0" t="str">
        <f aca="false">VLOOKUP(D175,Fornitori!$A$2:$C$6,2,FALSE())</f>
        <v>Pneumax Service</v>
      </c>
      <c r="F175" s="0" t="n">
        <v>11</v>
      </c>
      <c r="G175" s="0" t="n">
        <v>24</v>
      </c>
      <c r="H175" s="0" t="str">
        <f aca="false">IF(F175&lt;G175,"SI","NO")</f>
        <v>SI</v>
      </c>
    </row>
    <row r="176" customFormat="false" ht="15" hidden="false" customHeight="false" outlineLevel="0" collapsed="false">
      <c r="A176" s="0" t="s">
        <v>524</v>
      </c>
      <c r="B176" s="0" t="s">
        <v>525</v>
      </c>
      <c r="C176" s="0" t="s">
        <v>526</v>
      </c>
      <c r="D176" s="2" t="s">
        <v>27</v>
      </c>
      <c r="E176" s="0" t="str">
        <f aca="false">VLOOKUP(D176,Fornitori!$A$2:$C$6,2,FALSE())</f>
        <v>Guarnizioni Alpi</v>
      </c>
      <c r="F176" s="0" t="n">
        <v>31</v>
      </c>
      <c r="G176" s="0" t="n">
        <v>22</v>
      </c>
      <c r="H176" s="0" t="str">
        <f aca="false">IF(F176&lt;G176,"SI","NO")</f>
        <v>NO</v>
      </c>
    </row>
    <row r="177" customFormat="false" ht="15" hidden="false" customHeight="false" outlineLevel="0" collapsed="false">
      <c r="A177" s="0" t="s">
        <v>527</v>
      </c>
      <c r="B177" s="0" t="s">
        <v>528</v>
      </c>
      <c r="C177" s="0" t="s">
        <v>529</v>
      </c>
      <c r="D177" s="2" t="s">
        <v>11</v>
      </c>
      <c r="E177" s="0" t="str">
        <f aca="false">VLOOKUP(D177,Fornitori!$A$2:$C$6,2,FALSE())</f>
        <v>Meccanica Bassi S.r.l.</v>
      </c>
      <c r="F177" s="0" t="n">
        <v>25</v>
      </c>
      <c r="G177" s="0" t="n">
        <v>22</v>
      </c>
      <c r="H177" s="0" t="str">
        <f aca="false">IF(F177&lt;G177,"SI","NO")</f>
        <v>NO</v>
      </c>
    </row>
    <row r="178" customFormat="false" ht="15" hidden="false" customHeight="false" outlineLevel="0" collapsed="false">
      <c r="A178" s="0" t="s">
        <v>530</v>
      </c>
      <c r="B178" s="0" t="s">
        <v>531</v>
      </c>
      <c r="C178" s="0" t="s">
        <v>532</v>
      </c>
      <c r="D178" s="2" t="s">
        <v>15</v>
      </c>
      <c r="E178" s="0" t="str">
        <f aca="false">VLOOKUP(D178,Fornitori!$A$2:$C$6,2,FALSE())</f>
        <v>Rulmeca Italia</v>
      </c>
      <c r="F178" s="0" t="n">
        <v>25</v>
      </c>
      <c r="G178" s="0" t="n">
        <v>13</v>
      </c>
      <c r="H178" s="0" t="str">
        <f aca="false">IF(F178&lt;G178,"SI","NO")</f>
        <v>NO</v>
      </c>
    </row>
    <row r="179" customFormat="false" ht="15" hidden="false" customHeight="false" outlineLevel="0" collapsed="false">
      <c r="A179" s="0" t="s">
        <v>533</v>
      </c>
      <c r="B179" s="0" t="s">
        <v>534</v>
      </c>
      <c r="C179" s="0" t="s">
        <v>535</v>
      </c>
      <c r="D179" s="2" t="s">
        <v>19</v>
      </c>
      <c r="E179" s="0" t="str">
        <f aca="false">VLOOKUP(D179,Fornitori!$A$2:$C$6,2,FALSE())</f>
        <v>Elettrotecnica Ferri</v>
      </c>
      <c r="F179" s="0" t="n">
        <v>19</v>
      </c>
      <c r="G179" s="0" t="n">
        <v>23</v>
      </c>
      <c r="H179" s="0" t="str">
        <f aca="false">IF(F179&lt;G179,"SI","NO")</f>
        <v>SI</v>
      </c>
    </row>
    <row r="180" customFormat="false" ht="15" hidden="false" customHeight="false" outlineLevel="0" collapsed="false">
      <c r="A180" s="0" t="s">
        <v>536</v>
      </c>
      <c r="B180" s="0" t="s">
        <v>537</v>
      </c>
      <c r="C180" s="0" t="s">
        <v>538</v>
      </c>
      <c r="D180" s="2" t="s">
        <v>23</v>
      </c>
      <c r="E180" s="0" t="str">
        <f aca="false">VLOOKUP(D180,Fornitori!$A$2:$C$6,2,FALSE())</f>
        <v>Pneumax Service</v>
      </c>
      <c r="F180" s="0" t="n">
        <v>49</v>
      </c>
      <c r="G180" s="0" t="n">
        <v>16</v>
      </c>
      <c r="H180" s="0" t="str">
        <f aca="false">IF(F180&lt;G180,"SI","NO")</f>
        <v>NO</v>
      </c>
    </row>
    <row r="181" customFormat="false" ht="15" hidden="false" customHeight="false" outlineLevel="0" collapsed="false">
      <c r="A181" s="0" t="s">
        <v>539</v>
      </c>
      <c r="B181" s="0" t="s">
        <v>540</v>
      </c>
      <c r="C181" s="0" t="s">
        <v>541</v>
      </c>
      <c r="D181" s="2" t="s">
        <v>27</v>
      </c>
      <c r="E181" s="0" t="str">
        <f aca="false">VLOOKUP(D181,Fornitori!$A$2:$C$6,2,FALSE())</f>
        <v>Guarnizioni Alpi</v>
      </c>
      <c r="F181" s="0" t="n">
        <v>27</v>
      </c>
      <c r="G181" s="0" t="n">
        <v>10</v>
      </c>
      <c r="H181" s="0" t="str">
        <f aca="false">IF(F181&lt;G181,"SI","NO")</f>
        <v>NO</v>
      </c>
    </row>
    <row r="182" customFormat="false" ht="15" hidden="false" customHeight="false" outlineLevel="0" collapsed="false">
      <c r="A182" s="0" t="s">
        <v>542</v>
      </c>
      <c r="B182" s="0" t="s">
        <v>543</v>
      </c>
      <c r="C182" s="0" t="s">
        <v>544</v>
      </c>
      <c r="D182" s="2" t="s">
        <v>11</v>
      </c>
      <c r="E182" s="0" t="str">
        <f aca="false">VLOOKUP(D182,Fornitori!$A$2:$C$6,2,FALSE())</f>
        <v>Meccanica Bassi S.r.l.</v>
      </c>
      <c r="F182" s="0" t="n">
        <v>56</v>
      </c>
      <c r="G182" s="0" t="n">
        <v>16</v>
      </c>
      <c r="H182" s="0" t="str">
        <f aca="false">IF(F182&lt;G182,"SI","NO")</f>
        <v>NO</v>
      </c>
    </row>
    <row r="183" customFormat="false" ht="15" hidden="false" customHeight="false" outlineLevel="0" collapsed="false">
      <c r="A183" s="0" t="s">
        <v>545</v>
      </c>
      <c r="B183" s="0" t="s">
        <v>546</v>
      </c>
      <c r="C183" s="0" t="s">
        <v>547</v>
      </c>
      <c r="D183" s="2" t="s">
        <v>15</v>
      </c>
      <c r="E183" s="0" t="str">
        <f aca="false">VLOOKUP(D183,Fornitori!$A$2:$C$6,2,FALSE())</f>
        <v>Rulmeca Italia</v>
      </c>
      <c r="F183" s="0" t="n">
        <v>35</v>
      </c>
      <c r="G183" s="0" t="n">
        <v>9</v>
      </c>
      <c r="H183" s="0" t="str">
        <f aca="false">IF(F183&lt;G183,"SI","NO")</f>
        <v>NO</v>
      </c>
    </row>
    <row r="184" customFormat="false" ht="15" hidden="false" customHeight="false" outlineLevel="0" collapsed="false">
      <c r="A184" s="0" t="s">
        <v>548</v>
      </c>
      <c r="B184" s="0" t="s">
        <v>549</v>
      </c>
      <c r="C184" s="0" t="s">
        <v>550</v>
      </c>
      <c r="D184" s="2" t="s">
        <v>19</v>
      </c>
      <c r="E184" s="0" t="str">
        <f aca="false">VLOOKUP(D184,Fornitori!$A$2:$C$6,2,FALSE())</f>
        <v>Elettrotecnica Ferri</v>
      </c>
      <c r="F184" s="0" t="n">
        <v>10</v>
      </c>
      <c r="G184" s="0" t="n">
        <v>9</v>
      </c>
      <c r="H184" s="0" t="str">
        <f aca="false">IF(F184&lt;G184,"SI","NO")</f>
        <v>NO</v>
      </c>
    </row>
    <row r="185" customFormat="false" ht="15" hidden="false" customHeight="false" outlineLevel="0" collapsed="false">
      <c r="A185" s="0" t="s">
        <v>551</v>
      </c>
      <c r="B185" s="0" t="s">
        <v>552</v>
      </c>
      <c r="C185" s="0" t="s">
        <v>553</v>
      </c>
      <c r="D185" s="2" t="s">
        <v>23</v>
      </c>
      <c r="E185" s="0" t="str">
        <f aca="false">VLOOKUP(D185,Fornitori!$A$2:$C$6,2,FALSE())</f>
        <v>Pneumax Service</v>
      </c>
      <c r="F185" s="0" t="n">
        <v>59</v>
      </c>
      <c r="G185" s="0" t="n">
        <v>7</v>
      </c>
      <c r="H185" s="0" t="str">
        <f aca="false">IF(F185&lt;G185,"SI","NO")</f>
        <v>NO</v>
      </c>
    </row>
    <row r="186" customFormat="false" ht="15" hidden="false" customHeight="false" outlineLevel="0" collapsed="false">
      <c r="A186" s="0" t="s">
        <v>554</v>
      </c>
      <c r="B186" s="0" t="s">
        <v>555</v>
      </c>
      <c r="C186" s="0" t="s">
        <v>556</v>
      </c>
      <c r="D186" s="2" t="s">
        <v>27</v>
      </c>
      <c r="E186" s="0" t="str">
        <f aca="false">VLOOKUP(D186,Fornitori!$A$2:$C$6,2,FALSE())</f>
        <v>Guarnizioni Alpi</v>
      </c>
      <c r="F186" s="0" t="n">
        <v>8</v>
      </c>
      <c r="G186" s="0" t="n">
        <v>6</v>
      </c>
      <c r="H186" s="0" t="str">
        <f aca="false">IF(F186&lt;G186,"SI","NO")</f>
        <v>NO</v>
      </c>
    </row>
    <row r="187" customFormat="false" ht="15" hidden="false" customHeight="false" outlineLevel="0" collapsed="false">
      <c r="A187" s="0" t="s">
        <v>557</v>
      </c>
      <c r="B187" s="0" t="s">
        <v>558</v>
      </c>
      <c r="C187" s="0" t="s">
        <v>559</v>
      </c>
      <c r="D187" s="2" t="s">
        <v>11</v>
      </c>
      <c r="E187" s="0" t="str">
        <f aca="false">VLOOKUP(D187,Fornitori!$A$2:$C$6,2,FALSE())</f>
        <v>Meccanica Bassi S.r.l.</v>
      </c>
      <c r="F187" s="0" t="n">
        <v>24</v>
      </c>
      <c r="G187" s="0" t="n">
        <v>7</v>
      </c>
      <c r="H187" s="0" t="str">
        <f aca="false">IF(F187&lt;G187,"SI","NO")</f>
        <v>NO</v>
      </c>
    </row>
    <row r="188" customFormat="false" ht="15" hidden="false" customHeight="false" outlineLevel="0" collapsed="false">
      <c r="A188" s="0" t="s">
        <v>560</v>
      </c>
      <c r="B188" s="0" t="s">
        <v>531</v>
      </c>
      <c r="C188" s="0" t="s">
        <v>99</v>
      </c>
      <c r="D188" s="2" t="s">
        <v>15</v>
      </c>
      <c r="E188" s="0" t="str">
        <f aca="false">VLOOKUP(D188,Fornitori!$A$2:$C$6,2,FALSE())</f>
        <v>Rulmeca Italia</v>
      </c>
      <c r="F188" s="0" t="n">
        <v>39</v>
      </c>
      <c r="G188" s="0" t="n">
        <v>11</v>
      </c>
      <c r="H188" s="0" t="str">
        <f aca="false">IF(F188&lt;G188,"SI","NO")</f>
        <v>NO</v>
      </c>
    </row>
    <row r="189" customFormat="false" ht="15" hidden="false" customHeight="false" outlineLevel="0" collapsed="false">
      <c r="A189" s="0" t="s">
        <v>561</v>
      </c>
      <c r="B189" s="0" t="s">
        <v>562</v>
      </c>
      <c r="C189" s="0" t="s">
        <v>563</v>
      </c>
      <c r="D189" s="2" t="s">
        <v>19</v>
      </c>
      <c r="E189" s="0" t="str">
        <f aca="false">VLOOKUP(D189,Fornitori!$A$2:$C$6,2,FALSE())</f>
        <v>Elettrotecnica Ferri</v>
      </c>
      <c r="F189" s="0" t="n">
        <v>33</v>
      </c>
      <c r="G189" s="0" t="n">
        <v>10</v>
      </c>
      <c r="H189" s="0" t="str">
        <f aca="false">IF(F189&lt;G189,"SI","NO")</f>
        <v>NO</v>
      </c>
    </row>
    <row r="190" customFormat="false" ht="15" hidden="false" customHeight="false" outlineLevel="0" collapsed="false">
      <c r="A190" s="0" t="s">
        <v>564</v>
      </c>
      <c r="B190" s="0" t="s">
        <v>448</v>
      </c>
      <c r="C190" s="0" t="s">
        <v>565</v>
      </c>
      <c r="D190" s="2" t="s">
        <v>23</v>
      </c>
      <c r="E190" s="0" t="str">
        <f aca="false">VLOOKUP(D190,Fornitori!$A$2:$C$6,2,FALSE())</f>
        <v>Pneumax Service</v>
      </c>
      <c r="F190" s="0" t="n">
        <v>46</v>
      </c>
      <c r="G190" s="0" t="n">
        <v>11</v>
      </c>
      <c r="H190" s="0" t="str">
        <f aca="false">IF(F190&lt;G190,"SI","NO")</f>
        <v>NO</v>
      </c>
    </row>
    <row r="191" customFormat="false" ht="15" hidden="false" customHeight="false" outlineLevel="0" collapsed="false">
      <c r="A191" s="0" t="s">
        <v>566</v>
      </c>
      <c r="B191" s="0" t="s">
        <v>567</v>
      </c>
      <c r="C191" s="0" t="s">
        <v>568</v>
      </c>
      <c r="D191" s="2" t="s">
        <v>27</v>
      </c>
      <c r="E191" s="0" t="str">
        <f aca="false">VLOOKUP(D191,Fornitori!$A$2:$C$6,2,FALSE())</f>
        <v>Guarnizioni Alpi</v>
      </c>
      <c r="F191" s="0" t="n">
        <v>20</v>
      </c>
      <c r="G191" s="0" t="n">
        <v>8</v>
      </c>
      <c r="H191" s="0" t="str">
        <f aca="false">IF(F191&lt;G191,"SI","NO")</f>
        <v>NO</v>
      </c>
    </row>
    <row r="192" customFormat="false" ht="15" hidden="false" customHeight="false" outlineLevel="0" collapsed="false">
      <c r="A192" s="0" t="s">
        <v>569</v>
      </c>
      <c r="B192" s="0" t="s">
        <v>570</v>
      </c>
      <c r="C192" s="0" t="s">
        <v>571</v>
      </c>
      <c r="D192" s="2" t="s">
        <v>11</v>
      </c>
      <c r="E192" s="0" t="str">
        <f aca="false">VLOOKUP(D192,Fornitori!$A$2:$C$6,2,FALSE())</f>
        <v>Meccanica Bassi S.r.l.</v>
      </c>
      <c r="F192" s="0" t="n">
        <v>40</v>
      </c>
      <c r="G192" s="0" t="n">
        <v>14</v>
      </c>
      <c r="H192" s="0" t="str">
        <f aca="false">IF(F192&lt;G192,"SI","NO")</f>
        <v>NO</v>
      </c>
    </row>
    <row r="193" customFormat="false" ht="15" hidden="false" customHeight="false" outlineLevel="0" collapsed="false">
      <c r="A193" s="0" t="s">
        <v>572</v>
      </c>
      <c r="B193" s="0" t="s">
        <v>573</v>
      </c>
      <c r="C193" s="0" t="s">
        <v>574</v>
      </c>
      <c r="D193" s="2" t="s">
        <v>15</v>
      </c>
      <c r="E193" s="0" t="str">
        <f aca="false">VLOOKUP(D193,Fornitori!$A$2:$C$6,2,FALSE())</f>
        <v>Rulmeca Italia</v>
      </c>
      <c r="F193" s="0" t="n">
        <v>42</v>
      </c>
      <c r="G193" s="0" t="n">
        <v>16</v>
      </c>
      <c r="H193" s="0" t="str">
        <f aca="false">IF(F193&lt;G193,"SI","NO")</f>
        <v>NO</v>
      </c>
    </row>
    <row r="194" customFormat="false" ht="15" hidden="false" customHeight="false" outlineLevel="0" collapsed="false">
      <c r="A194" s="0" t="s">
        <v>575</v>
      </c>
      <c r="B194" s="0" t="s">
        <v>576</v>
      </c>
      <c r="C194" s="0" t="s">
        <v>577</v>
      </c>
      <c r="D194" s="2" t="s">
        <v>19</v>
      </c>
      <c r="E194" s="0" t="str">
        <f aca="false">VLOOKUP(D194,Fornitori!$A$2:$C$6,2,FALSE())</f>
        <v>Elettrotecnica Ferri</v>
      </c>
      <c r="F194" s="0" t="n">
        <v>0</v>
      </c>
      <c r="G194" s="0" t="n">
        <v>24</v>
      </c>
      <c r="H194" s="0" t="str">
        <f aca="false">IF(F194&lt;G194,"SI","NO")</f>
        <v>SI</v>
      </c>
    </row>
    <row r="195" customFormat="false" ht="15" hidden="false" customHeight="false" outlineLevel="0" collapsed="false">
      <c r="A195" s="0" t="s">
        <v>578</v>
      </c>
      <c r="B195" s="0" t="s">
        <v>579</v>
      </c>
      <c r="C195" s="0" t="s">
        <v>580</v>
      </c>
      <c r="D195" s="2" t="s">
        <v>23</v>
      </c>
      <c r="E195" s="0" t="str">
        <f aca="false">VLOOKUP(D195,Fornitori!$A$2:$C$6,2,FALSE())</f>
        <v>Pneumax Service</v>
      </c>
      <c r="F195" s="0" t="n">
        <v>39</v>
      </c>
      <c r="G195" s="0" t="n">
        <v>19</v>
      </c>
      <c r="H195" s="0" t="str">
        <f aca="false">IF(F195&lt;G195,"SI","NO")</f>
        <v>NO</v>
      </c>
    </row>
    <row r="196" customFormat="false" ht="15" hidden="false" customHeight="false" outlineLevel="0" collapsed="false">
      <c r="A196" s="0" t="s">
        <v>581</v>
      </c>
      <c r="B196" s="0" t="s">
        <v>582</v>
      </c>
      <c r="C196" s="0" t="s">
        <v>484</v>
      </c>
      <c r="D196" s="2" t="s">
        <v>27</v>
      </c>
      <c r="E196" s="0" t="str">
        <f aca="false">VLOOKUP(D196,Fornitori!$A$2:$C$6,2,FALSE())</f>
        <v>Guarnizioni Alpi</v>
      </c>
      <c r="F196" s="0" t="n">
        <v>8</v>
      </c>
      <c r="G196" s="0" t="n">
        <v>16</v>
      </c>
      <c r="H196" s="0" t="str">
        <f aca="false">IF(F196&lt;G196,"SI","NO")</f>
        <v>SI</v>
      </c>
    </row>
    <row r="197" customFormat="false" ht="15" hidden="false" customHeight="false" outlineLevel="0" collapsed="false">
      <c r="A197" s="0" t="s">
        <v>583</v>
      </c>
      <c r="B197" s="0" t="s">
        <v>584</v>
      </c>
      <c r="C197" s="0" t="s">
        <v>585</v>
      </c>
      <c r="D197" s="2" t="s">
        <v>11</v>
      </c>
      <c r="E197" s="0" t="str">
        <f aca="false">VLOOKUP(D197,Fornitori!$A$2:$C$6,2,FALSE())</f>
        <v>Meccanica Bassi S.r.l.</v>
      </c>
      <c r="F197" s="0" t="n">
        <v>32</v>
      </c>
      <c r="G197" s="0" t="n">
        <v>6</v>
      </c>
      <c r="H197" s="0" t="str">
        <f aca="false">IF(F197&lt;G197,"SI","NO")</f>
        <v>NO</v>
      </c>
    </row>
    <row r="198" customFormat="false" ht="15" hidden="false" customHeight="false" outlineLevel="0" collapsed="false">
      <c r="A198" s="0" t="s">
        <v>586</v>
      </c>
      <c r="B198" s="0" t="s">
        <v>587</v>
      </c>
      <c r="C198" s="0" t="s">
        <v>588</v>
      </c>
      <c r="D198" s="2" t="s">
        <v>15</v>
      </c>
      <c r="E198" s="0" t="str">
        <f aca="false">VLOOKUP(D198,Fornitori!$A$2:$C$6,2,FALSE())</f>
        <v>Rulmeca Italia</v>
      </c>
      <c r="F198" s="0" t="n">
        <v>20</v>
      </c>
      <c r="G198" s="0" t="n">
        <v>21</v>
      </c>
      <c r="H198" s="0" t="str">
        <f aca="false">IF(F198&lt;G198,"SI","NO")</f>
        <v>SI</v>
      </c>
    </row>
    <row r="199" customFormat="false" ht="15" hidden="false" customHeight="false" outlineLevel="0" collapsed="false">
      <c r="A199" s="0" t="s">
        <v>589</v>
      </c>
      <c r="B199" s="0" t="s">
        <v>590</v>
      </c>
      <c r="C199" s="0" t="s">
        <v>591</v>
      </c>
      <c r="D199" s="2" t="s">
        <v>19</v>
      </c>
      <c r="E199" s="0" t="str">
        <f aca="false">VLOOKUP(D199,Fornitori!$A$2:$C$6,2,FALSE())</f>
        <v>Elettrotecnica Ferri</v>
      </c>
      <c r="F199" s="0" t="n">
        <v>8</v>
      </c>
      <c r="G199" s="0" t="n">
        <v>5</v>
      </c>
      <c r="H199" s="0" t="str">
        <f aca="false">IF(F199&lt;G199,"SI","NO")</f>
        <v>NO</v>
      </c>
    </row>
    <row r="200" customFormat="false" ht="15" hidden="false" customHeight="false" outlineLevel="0" collapsed="false">
      <c r="A200" s="0" t="s">
        <v>592</v>
      </c>
      <c r="B200" s="0" t="s">
        <v>593</v>
      </c>
      <c r="C200" s="0" t="s">
        <v>389</v>
      </c>
      <c r="D200" s="2" t="s">
        <v>23</v>
      </c>
      <c r="E200" s="0" t="str">
        <f aca="false">VLOOKUP(D200,Fornitori!$A$2:$C$6,2,FALSE())</f>
        <v>Pneumax Service</v>
      </c>
      <c r="F200" s="0" t="n">
        <v>56</v>
      </c>
      <c r="G200" s="0" t="n">
        <v>20</v>
      </c>
      <c r="H200" s="0" t="str">
        <f aca="false">IF(F200&lt;G200,"SI","NO")</f>
        <v>NO</v>
      </c>
    </row>
    <row r="201" customFormat="false" ht="15" hidden="false" customHeight="false" outlineLevel="0" collapsed="false">
      <c r="A201" s="0" t="s">
        <v>594</v>
      </c>
      <c r="B201" s="0" t="s">
        <v>595</v>
      </c>
      <c r="C201" s="0" t="s">
        <v>596</v>
      </c>
      <c r="D201" s="2" t="s">
        <v>27</v>
      </c>
      <c r="E201" s="0" t="str">
        <f aca="false">VLOOKUP(D201,Fornitori!$A$2:$C$6,2,FALSE())</f>
        <v>Guarnizioni Alpi</v>
      </c>
      <c r="F201" s="0" t="n">
        <v>22</v>
      </c>
      <c r="G201" s="0" t="n">
        <v>24</v>
      </c>
      <c r="H201" s="0" t="str">
        <f aca="false">IF(F201&lt;G201,"SI","NO")</f>
        <v>SI</v>
      </c>
    </row>
    <row r="202" customFormat="false" ht="15" hidden="false" customHeight="false" outlineLevel="0" collapsed="false">
      <c r="A202" s="0" t="s">
        <v>597</v>
      </c>
      <c r="B202" s="0" t="s">
        <v>483</v>
      </c>
      <c r="C202" s="0" t="s">
        <v>598</v>
      </c>
      <c r="D202" s="2" t="s">
        <v>11</v>
      </c>
      <c r="E202" s="0" t="str">
        <f aca="false">VLOOKUP(D202,Fornitori!$A$2:$C$6,2,FALSE())</f>
        <v>Meccanica Bassi S.r.l.</v>
      </c>
      <c r="F202" s="0" t="n">
        <v>57</v>
      </c>
      <c r="G202" s="0" t="n">
        <v>19</v>
      </c>
      <c r="H202" s="0" t="str">
        <f aca="false">IF(F202&lt;G202,"SI","NO")</f>
        <v>NO</v>
      </c>
    </row>
    <row r="203" customFormat="false" ht="15" hidden="false" customHeight="false" outlineLevel="0" collapsed="false">
      <c r="A203" s="0" t="s">
        <v>599</v>
      </c>
      <c r="B203" s="0" t="s">
        <v>600</v>
      </c>
      <c r="C203" s="0" t="s">
        <v>601</v>
      </c>
      <c r="D203" s="2" t="s">
        <v>15</v>
      </c>
      <c r="E203" s="0" t="str">
        <f aca="false">VLOOKUP(D203,Fornitori!$A$2:$C$6,2,FALSE())</f>
        <v>Rulmeca Italia</v>
      </c>
      <c r="F203" s="0" t="n">
        <v>16</v>
      </c>
      <c r="G203" s="0" t="n">
        <v>24</v>
      </c>
      <c r="H203" s="0" t="str">
        <f aca="false">IF(F203&lt;G203,"SI","NO")</f>
        <v>SI</v>
      </c>
    </row>
    <row r="204" customFormat="false" ht="15" hidden="false" customHeight="false" outlineLevel="0" collapsed="false">
      <c r="A204" s="0" t="s">
        <v>602</v>
      </c>
      <c r="B204" s="0" t="s">
        <v>603</v>
      </c>
      <c r="C204" s="0" t="s">
        <v>604</v>
      </c>
      <c r="D204" s="2" t="s">
        <v>19</v>
      </c>
      <c r="E204" s="0" t="str">
        <f aca="false">VLOOKUP(D204,Fornitori!$A$2:$C$6,2,FALSE())</f>
        <v>Elettrotecnica Ferri</v>
      </c>
      <c r="F204" s="0" t="n">
        <v>11</v>
      </c>
      <c r="G204" s="0" t="n">
        <v>17</v>
      </c>
      <c r="H204" s="0" t="str">
        <f aca="false">IF(F204&lt;G204,"SI","NO")</f>
        <v>SI</v>
      </c>
    </row>
    <row r="205" customFormat="false" ht="15" hidden="false" customHeight="false" outlineLevel="0" collapsed="false">
      <c r="A205" s="0" t="s">
        <v>605</v>
      </c>
      <c r="B205" s="0" t="s">
        <v>606</v>
      </c>
      <c r="C205" s="0" t="s">
        <v>607</v>
      </c>
      <c r="D205" s="2" t="s">
        <v>23</v>
      </c>
      <c r="E205" s="0" t="str">
        <f aca="false">VLOOKUP(D205,Fornitori!$A$2:$C$6,2,FALSE())</f>
        <v>Pneumax Service</v>
      </c>
      <c r="F205" s="0" t="n">
        <v>57</v>
      </c>
      <c r="G205" s="0" t="n">
        <v>17</v>
      </c>
      <c r="H205" s="0" t="str">
        <f aca="false">IF(F205&lt;G205,"SI","NO")</f>
        <v>NO</v>
      </c>
    </row>
    <row r="206" customFormat="false" ht="15" hidden="false" customHeight="false" outlineLevel="0" collapsed="false">
      <c r="A206" s="0" t="s">
        <v>608</v>
      </c>
      <c r="B206" s="0" t="s">
        <v>609</v>
      </c>
      <c r="C206" s="0" t="s">
        <v>36</v>
      </c>
      <c r="D206" s="2" t="s">
        <v>27</v>
      </c>
      <c r="E206" s="0" t="str">
        <f aca="false">VLOOKUP(D206,Fornitori!$A$2:$C$6,2,FALSE())</f>
        <v>Guarnizioni Alpi</v>
      </c>
      <c r="F206" s="0" t="n">
        <v>40</v>
      </c>
      <c r="G206" s="0" t="n">
        <v>16</v>
      </c>
      <c r="H206" s="0" t="str">
        <f aca="false">IF(F206&lt;G206,"SI","NO")</f>
        <v>NO</v>
      </c>
    </row>
    <row r="207" customFormat="false" ht="15" hidden="false" customHeight="false" outlineLevel="0" collapsed="false">
      <c r="A207" s="0" t="s">
        <v>610</v>
      </c>
      <c r="B207" s="0" t="s">
        <v>611</v>
      </c>
      <c r="C207" s="0" t="s">
        <v>612</v>
      </c>
      <c r="D207" s="2" t="s">
        <v>11</v>
      </c>
      <c r="E207" s="0" t="str">
        <f aca="false">VLOOKUP(D207,Fornitori!$A$2:$C$6,2,FALSE())</f>
        <v>Meccanica Bassi S.r.l.</v>
      </c>
      <c r="F207" s="0" t="n">
        <v>40</v>
      </c>
      <c r="G207" s="0" t="n">
        <v>17</v>
      </c>
      <c r="H207" s="0" t="str">
        <f aca="false">IF(F207&lt;G207,"SI","NO")</f>
        <v>NO</v>
      </c>
    </row>
    <row r="208" customFormat="false" ht="15" hidden="false" customHeight="false" outlineLevel="0" collapsed="false">
      <c r="A208" s="0" t="s">
        <v>613</v>
      </c>
      <c r="B208" s="0" t="s">
        <v>614</v>
      </c>
      <c r="C208" s="0" t="s">
        <v>615</v>
      </c>
      <c r="D208" s="2" t="s">
        <v>15</v>
      </c>
      <c r="E208" s="0" t="str">
        <f aca="false">VLOOKUP(D208,Fornitori!$A$2:$C$6,2,FALSE())</f>
        <v>Rulmeca Italia</v>
      </c>
      <c r="F208" s="0" t="n">
        <v>9</v>
      </c>
      <c r="G208" s="0" t="n">
        <v>16</v>
      </c>
      <c r="H208" s="0" t="str">
        <f aca="false">IF(F208&lt;G208,"SI","NO")</f>
        <v>SI</v>
      </c>
    </row>
    <row r="209" customFormat="false" ht="15" hidden="false" customHeight="false" outlineLevel="0" collapsed="false">
      <c r="A209" s="0" t="s">
        <v>616</v>
      </c>
      <c r="B209" s="0" t="s">
        <v>617</v>
      </c>
      <c r="C209" s="0" t="s">
        <v>618</v>
      </c>
      <c r="D209" s="2" t="s">
        <v>19</v>
      </c>
      <c r="E209" s="0" t="str">
        <f aca="false">VLOOKUP(D209,Fornitori!$A$2:$C$6,2,FALSE())</f>
        <v>Elettrotecnica Ferri</v>
      </c>
      <c r="F209" s="0" t="n">
        <v>39</v>
      </c>
      <c r="G209" s="0" t="n">
        <v>6</v>
      </c>
      <c r="H209" s="0" t="str">
        <f aca="false">IF(F209&lt;G209,"SI","NO")</f>
        <v>NO</v>
      </c>
    </row>
    <row r="210" customFormat="false" ht="15" hidden="false" customHeight="false" outlineLevel="0" collapsed="false">
      <c r="A210" s="0" t="s">
        <v>619</v>
      </c>
      <c r="B210" s="0" t="s">
        <v>620</v>
      </c>
      <c r="C210" s="0" t="s">
        <v>270</v>
      </c>
      <c r="D210" s="2" t="s">
        <v>23</v>
      </c>
      <c r="E210" s="0" t="str">
        <f aca="false">VLOOKUP(D210,Fornitori!$A$2:$C$6,2,FALSE())</f>
        <v>Pneumax Service</v>
      </c>
      <c r="F210" s="0" t="n">
        <v>55</v>
      </c>
      <c r="G210" s="0" t="n">
        <v>23</v>
      </c>
      <c r="H210" s="0" t="str">
        <f aca="false">IF(F210&lt;G210,"SI","NO")</f>
        <v>NO</v>
      </c>
    </row>
    <row r="211" customFormat="false" ht="15" hidden="false" customHeight="false" outlineLevel="0" collapsed="false">
      <c r="A211" s="0" t="s">
        <v>621</v>
      </c>
      <c r="B211" s="0" t="s">
        <v>622</v>
      </c>
      <c r="C211" s="0" t="s">
        <v>623</v>
      </c>
      <c r="D211" s="2" t="s">
        <v>27</v>
      </c>
      <c r="E211" s="0" t="str">
        <f aca="false">VLOOKUP(D211,Fornitori!$A$2:$C$6,2,FALSE())</f>
        <v>Guarnizioni Alpi</v>
      </c>
      <c r="F211" s="0" t="n">
        <v>18</v>
      </c>
      <c r="G211" s="0" t="n">
        <v>24</v>
      </c>
      <c r="H211" s="0" t="str">
        <f aca="false">IF(F211&lt;G211,"SI","NO")</f>
        <v>SI</v>
      </c>
    </row>
    <row r="212" customFormat="false" ht="15" hidden="false" customHeight="false" outlineLevel="0" collapsed="false">
      <c r="A212" s="0" t="s">
        <v>624</v>
      </c>
      <c r="B212" s="0" t="s">
        <v>625</v>
      </c>
      <c r="C212" s="0" t="s">
        <v>626</v>
      </c>
      <c r="D212" s="2" t="s">
        <v>11</v>
      </c>
      <c r="E212" s="0" t="str">
        <f aca="false">VLOOKUP(D212,Fornitori!$A$2:$C$6,2,FALSE())</f>
        <v>Meccanica Bassi S.r.l.</v>
      </c>
      <c r="F212" s="0" t="n">
        <v>31</v>
      </c>
      <c r="G212" s="0" t="n">
        <v>12</v>
      </c>
      <c r="H212" s="0" t="str">
        <f aca="false">IF(F212&lt;G212,"SI","NO")</f>
        <v>NO</v>
      </c>
    </row>
    <row r="213" customFormat="false" ht="15" hidden="false" customHeight="false" outlineLevel="0" collapsed="false">
      <c r="A213" s="0" t="s">
        <v>627</v>
      </c>
      <c r="B213" s="0" t="s">
        <v>628</v>
      </c>
      <c r="C213" s="0" t="s">
        <v>629</v>
      </c>
      <c r="D213" s="2" t="s">
        <v>15</v>
      </c>
      <c r="E213" s="0" t="str">
        <f aca="false">VLOOKUP(D213,Fornitori!$A$2:$C$6,2,FALSE())</f>
        <v>Rulmeca Italia</v>
      </c>
      <c r="F213" s="0" t="n">
        <v>22</v>
      </c>
      <c r="G213" s="0" t="n">
        <v>14</v>
      </c>
      <c r="H213" s="0" t="str">
        <f aca="false">IF(F213&lt;G213,"SI","NO")</f>
        <v>NO</v>
      </c>
    </row>
    <row r="214" customFormat="false" ht="15" hidden="false" customHeight="false" outlineLevel="0" collapsed="false">
      <c r="A214" s="0" t="s">
        <v>630</v>
      </c>
      <c r="B214" s="0" t="s">
        <v>631</v>
      </c>
      <c r="C214" s="0" t="s">
        <v>632</v>
      </c>
      <c r="D214" s="2" t="s">
        <v>19</v>
      </c>
      <c r="E214" s="0" t="str">
        <f aca="false">VLOOKUP(D214,Fornitori!$A$2:$C$6,2,FALSE())</f>
        <v>Elettrotecnica Ferri</v>
      </c>
      <c r="F214" s="0" t="n">
        <v>26</v>
      </c>
      <c r="G214" s="0" t="n">
        <v>23</v>
      </c>
      <c r="H214" s="0" t="str">
        <f aca="false">IF(F214&lt;G214,"SI","NO")</f>
        <v>NO</v>
      </c>
    </row>
    <row r="215" customFormat="false" ht="15" hidden="false" customHeight="false" outlineLevel="0" collapsed="false">
      <c r="A215" s="0" t="s">
        <v>633</v>
      </c>
      <c r="B215" s="0" t="s">
        <v>634</v>
      </c>
      <c r="C215" s="0" t="s">
        <v>635</v>
      </c>
      <c r="D215" s="2" t="s">
        <v>23</v>
      </c>
      <c r="E215" s="0" t="str">
        <f aca="false">VLOOKUP(D215,Fornitori!$A$2:$C$6,2,FALSE())</f>
        <v>Pneumax Service</v>
      </c>
      <c r="F215" s="0" t="n">
        <v>39</v>
      </c>
      <c r="G215" s="0" t="n">
        <v>20</v>
      </c>
      <c r="H215" s="0" t="str">
        <f aca="false">IF(F215&lt;G215,"SI","NO")</f>
        <v>NO</v>
      </c>
    </row>
    <row r="216" customFormat="false" ht="15" hidden="false" customHeight="false" outlineLevel="0" collapsed="false">
      <c r="A216" s="0" t="s">
        <v>636</v>
      </c>
      <c r="B216" s="0" t="s">
        <v>637</v>
      </c>
      <c r="C216" s="0" t="s">
        <v>638</v>
      </c>
      <c r="D216" s="2" t="s">
        <v>27</v>
      </c>
      <c r="E216" s="0" t="str">
        <f aca="false">VLOOKUP(D216,Fornitori!$A$2:$C$6,2,FALSE())</f>
        <v>Guarnizioni Alpi</v>
      </c>
      <c r="F216" s="0" t="n">
        <v>9</v>
      </c>
      <c r="G216" s="0" t="n">
        <v>19</v>
      </c>
      <c r="H216" s="0" t="str">
        <f aca="false">IF(F216&lt;G216,"SI","NO")</f>
        <v>SI</v>
      </c>
    </row>
    <row r="217" customFormat="false" ht="15" hidden="false" customHeight="false" outlineLevel="0" collapsed="false">
      <c r="A217" s="0" t="s">
        <v>639</v>
      </c>
      <c r="B217" s="0" t="s">
        <v>640</v>
      </c>
      <c r="C217" s="0" t="s">
        <v>641</v>
      </c>
      <c r="D217" s="2" t="s">
        <v>11</v>
      </c>
      <c r="E217" s="0" t="str">
        <f aca="false">VLOOKUP(D217,Fornitori!$A$2:$C$6,2,FALSE())</f>
        <v>Meccanica Bassi S.r.l.</v>
      </c>
      <c r="F217" s="0" t="n">
        <v>17</v>
      </c>
      <c r="G217" s="0" t="n">
        <v>17</v>
      </c>
      <c r="H217" s="0" t="str">
        <f aca="false">IF(F217&lt;G217,"SI","NO")</f>
        <v>NO</v>
      </c>
    </row>
    <row r="218" customFormat="false" ht="15" hidden="false" customHeight="false" outlineLevel="0" collapsed="false">
      <c r="A218" s="0" t="s">
        <v>642</v>
      </c>
      <c r="B218" s="0" t="s">
        <v>643</v>
      </c>
      <c r="C218" s="0" t="s">
        <v>568</v>
      </c>
      <c r="D218" s="2" t="s">
        <v>15</v>
      </c>
      <c r="E218" s="0" t="str">
        <f aca="false">VLOOKUP(D218,Fornitori!$A$2:$C$6,2,FALSE())</f>
        <v>Rulmeca Italia</v>
      </c>
      <c r="F218" s="0" t="n">
        <v>35</v>
      </c>
      <c r="G218" s="0" t="n">
        <v>16</v>
      </c>
      <c r="H218" s="0" t="str">
        <f aca="false">IF(F218&lt;G218,"SI","NO")</f>
        <v>NO</v>
      </c>
    </row>
    <row r="219" customFormat="false" ht="15" hidden="false" customHeight="false" outlineLevel="0" collapsed="false">
      <c r="A219" s="0" t="s">
        <v>644</v>
      </c>
      <c r="B219" s="0" t="s">
        <v>645</v>
      </c>
      <c r="C219" s="0" t="s">
        <v>618</v>
      </c>
      <c r="D219" s="2" t="s">
        <v>19</v>
      </c>
      <c r="E219" s="0" t="str">
        <f aca="false">VLOOKUP(D219,Fornitori!$A$2:$C$6,2,FALSE())</f>
        <v>Elettrotecnica Ferri</v>
      </c>
      <c r="F219" s="0" t="n">
        <v>57</v>
      </c>
      <c r="G219" s="0" t="n">
        <v>5</v>
      </c>
      <c r="H219" s="0" t="str">
        <f aca="false">IF(F219&lt;G219,"SI","NO")</f>
        <v>NO</v>
      </c>
    </row>
    <row r="220" customFormat="false" ht="15" hidden="false" customHeight="false" outlineLevel="0" collapsed="false">
      <c r="A220" s="0" t="s">
        <v>646</v>
      </c>
      <c r="B220" s="0" t="s">
        <v>647</v>
      </c>
      <c r="C220" s="0" t="s">
        <v>648</v>
      </c>
      <c r="D220" s="2" t="s">
        <v>23</v>
      </c>
      <c r="E220" s="0" t="str">
        <f aca="false">VLOOKUP(D220,Fornitori!$A$2:$C$6,2,FALSE())</f>
        <v>Pneumax Service</v>
      </c>
      <c r="F220" s="0" t="n">
        <v>15</v>
      </c>
      <c r="G220" s="0" t="n">
        <v>10</v>
      </c>
      <c r="H220" s="0" t="str">
        <f aca="false">IF(F220&lt;G220,"SI","NO")</f>
        <v>NO</v>
      </c>
    </row>
    <row r="221" customFormat="false" ht="15" hidden="false" customHeight="false" outlineLevel="0" collapsed="false">
      <c r="A221" s="0" t="s">
        <v>649</v>
      </c>
      <c r="B221" s="0" t="s">
        <v>650</v>
      </c>
      <c r="C221" s="0" t="s">
        <v>651</v>
      </c>
      <c r="D221" s="2" t="s">
        <v>27</v>
      </c>
      <c r="E221" s="0" t="str">
        <f aca="false">VLOOKUP(D221,Fornitori!$A$2:$C$6,2,FALSE())</f>
        <v>Guarnizioni Alpi</v>
      </c>
      <c r="F221" s="0" t="n">
        <v>42</v>
      </c>
      <c r="G221" s="0" t="n">
        <v>11</v>
      </c>
      <c r="H221" s="0" t="str">
        <f aca="false">IF(F221&lt;G221,"SI","NO")</f>
        <v>NO</v>
      </c>
    </row>
    <row r="222" customFormat="false" ht="15" hidden="false" customHeight="false" outlineLevel="0" collapsed="false">
      <c r="A222" s="0" t="s">
        <v>652</v>
      </c>
      <c r="B222" s="0" t="s">
        <v>653</v>
      </c>
      <c r="C222" s="0" t="s">
        <v>654</v>
      </c>
      <c r="D222" s="2" t="s">
        <v>11</v>
      </c>
      <c r="E222" s="0" t="str">
        <f aca="false">VLOOKUP(D222,Fornitori!$A$2:$C$6,2,FALSE())</f>
        <v>Meccanica Bassi S.r.l.</v>
      </c>
      <c r="F222" s="0" t="n">
        <v>41</v>
      </c>
      <c r="G222" s="0" t="n">
        <v>21</v>
      </c>
      <c r="H222" s="0" t="str">
        <f aca="false">IF(F222&lt;G222,"SI","NO")</f>
        <v>NO</v>
      </c>
    </row>
    <row r="223" customFormat="false" ht="15" hidden="false" customHeight="false" outlineLevel="0" collapsed="false">
      <c r="A223" s="0" t="s">
        <v>655</v>
      </c>
      <c r="B223" s="0" t="s">
        <v>656</v>
      </c>
      <c r="C223" s="0" t="s">
        <v>657</v>
      </c>
      <c r="D223" s="2" t="s">
        <v>15</v>
      </c>
      <c r="E223" s="0" t="str">
        <f aca="false">VLOOKUP(D223,Fornitori!$A$2:$C$6,2,FALSE())</f>
        <v>Rulmeca Italia</v>
      </c>
      <c r="F223" s="0" t="n">
        <v>4</v>
      </c>
      <c r="G223" s="0" t="n">
        <v>14</v>
      </c>
      <c r="H223" s="0" t="str">
        <f aca="false">IF(F223&lt;G223,"SI","NO")</f>
        <v>SI</v>
      </c>
    </row>
    <row r="224" customFormat="false" ht="15" hidden="false" customHeight="false" outlineLevel="0" collapsed="false">
      <c r="A224" s="0" t="s">
        <v>658</v>
      </c>
      <c r="B224" s="0" t="s">
        <v>659</v>
      </c>
      <c r="C224" s="0" t="s">
        <v>660</v>
      </c>
      <c r="D224" s="2" t="s">
        <v>19</v>
      </c>
      <c r="E224" s="0" t="str">
        <f aca="false">VLOOKUP(D224,Fornitori!$A$2:$C$6,2,FALSE())</f>
        <v>Elettrotecnica Ferri</v>
      </c>
      <c r="F224" s="0" t="n">
        <v>27</v>
      </c>
      <c r="G224" s="0" t="n">
        <v>19</v>
      </c>
      <c r="H224" s="0" t="str">
        <f aca="false">IF(F224&lt;G224,"SI","NO")</f>
        <v>NO</v>
      </c>
    </row>
    <row r="225" customFormat="false" ht="15" hidden="false" customHeight="false" outlineLevel="0" collapsed="false">
      <c r="A225" s="0" t="s">
        <v>661</v>
      </c>
      <c r="B225" s="0" t="s">
        <v>662</v>
      </c>
      <c r="C225" s="0" t="s">
        <v>663</v>
      </c>
      <c r="D225" s="2" t="s">
        <v>23</v>
      </c>
      <c r="E225" s="0" t="str">
        <f aca="false">VLOOKUP(D225,Fornitori!$A$2:$C$6,2,FALSE())</f>
        <v>Pneumax Service</v>
      </c>
      <c r="F225" s="0" t="n">
        <v>6</v>
      </c>
      <c r="G225" s="0" t="n">
        <v>13</v>
      </c>
      <c r="H225" s="0" t="str">
        <f aca="false">IF(F225&lt;G225,"SI","NO")</f>
        <v>SI</v>
      </c>
    </row>
    <row r="226" customFormat="false" ht="15" hidden="false" customHeight="false" outlineLevel="0" collapsed="false">
      <c r="A226" s="0" t="s">
        <v>664</v>
      </c>
      <c r="B226" s="0" t="s">
        <v>665</v>
      </c>
      <c r="C226" s="0" t="s">
        <v>666</v>
      </c>
      <c r="D226" s="2" t="s">
        <v>27</v>
      </c>
      <c r="E226" s="0" t="str">
        <f aca="false">VLOOKUP(D226,Fornitori!$A$2:$C$6,2,FALSE())</f>
        <v>Guarnizioni Alpi</v>
      </c>
      <c r="F226" s="0" t="n">
        <v>57</v>
      </c>
      <c r="G226" s="0" t="n">
        <v>13</v>
      </c>
      <c r="H226" s="0" t="str">
        <f aca="false">IF(F226&lt;G226,"SI","NO")</f>
        <v>NO</v>
      </c>
    </row>
    <row r="227" customFormat="false" ht="15" hidden="false" customHeight="false" outlineLevel="0" collapsed="false">
      <c r="A227" s="0" t="s">
        <v>667</v>
      </c>
      <c r="B227" s="0" t="s">
        <v>668</v>
      </c>
      <c r="C227" s="0" t="s">
        <v>591</v>
      </c>
      <c r="D227" s="2" t="s">
        <v>11</v>
      </c>
      <c r="E227" s="0" t="str">
        <f aca="false">VLOOKUP(D227,Fornitori!$A$2:$C$6,2,FALSE())</f>
        <v>Meccanica Bassi S.r.l.</v>
      </c>
      <c r="F227" s="0" t="n">
        <v>58</v>
      </c>
      <c r="G227" s="0" t="n">
        <v>21</v>
      </c>
      <c r="H227" s="0" t="str">
        <f aca="false">IF(F227&lt;G227,"SI","NO")</f>
        <v>NO</v>
      </c>
    </row>
    <row r="228" customFormat="false" ht="15" hidden="false" customHeight="false" outlineLevel="0" collapsed="false">
      <c r="A228" s="0" t="s">
        <v>669</v>
      </c>
      <c r="B228" s="0" t="s">
        <v>670</v>
      </c>
      <c r="C228" s="0" t="s">
        <v>671</v>
      </c>
      <c r="D228" s="2" t="s">
        <v>15</v>
      </c>
      <c r="E228" s="0" t="str">
        <f aca="false">VLOOKUP(D228,Fornitori!$A$2:$C$6,2,FALSE())</f>
        <v>Rulmeca Italia</v>
      </c>
      <c r="F228" s="0" t="n">
        <v>32</v>
      </c>
      <c r="G228" s="0" t="n">
        <v>5</v>
      </c>
      <c r="H228" s="0" t="str">
        <f aca="false">IF(F228&lt;G228,"SI","NO")</f>
        <v>NO</v>
      </c>
    </row>
    <row r="229" customFormat="false" ht="15" hidden="false" customHeight="false" outlineLevel="0" collapsed="false">
      <c r="A229" s="0" t="s">
        <v>672</v>
      </c>
      <c r="B229" s="0" t="s">
        <v>673</v>
      </c>
      <c r="C229" s="0" t="s">
        <v>674</v>
      </c>
      <c r="D229" s="2" t="s">
        <v>19</v>
      </c>
      <c r="E229" s="0" t="str">
        <f aca="false">VLOOKUP(D229,Fornitori!$A$2:$C$6,2,FALSE())</f>
        <v>Elettrotecnica Ferri</v>
      </c>
      <c r="F229" s="0" t="n">
        <v>10</v>
      </c>
      <c r="G229" s="0" t="n">
        <v>15</v>
      </c>
      <c r="H229" s="0" t="str">
        <f aca="false">IF(F229&lt;G229,"SI","NO")</f>
        <v>SI</v>
      </c>
    </row>
    <row r="230" customFormat="false" ht="15" hidden="false" customHeight="false" outlineLevel="0" collapsed="false">
      <c r="A230" s="0" t="s">
        <v>675</v>
      </c>
      <c r="B230" s="0" t="s">
        <v>676</v>
      </c>
      <c r="C230" s="0" t="s">
        <v>632</v>
      </c>
      <c r="D230" s="2" t="s">
        <v>23</v>
      </c>
      <c r="E230" s="0" t="str">
        <f aca="false">VLOOKUP(D230,Fornitori!$A$2:$C$6,2,FALSE())</f>
        <v>Pneumax Service</v>
      </c>
      <c r="F230" s="0" t="n">
        <v>24</v>
      </c>
      <c r="G230" s="0" t="n">
        <v>22</v>
      </c>
      <c r="H230" s="0" t="str">
        <f aca="false">IF(F230&lt;G230,"SI","NO")</f>
        <v>NO</v>
      </c>
    </row>
    <row r="231" customFormat="false" ht="15" hidden="false" customHeight="false" outlineLevel="0" collapsed="false">
      <c r="A231" s="0" t="s">
        <v>677</v>
      </c>
      <c r="B231" s="0" t="s">
        <v>678</v>
      </c>
      <c r="C231" s="0" t="s">
        <v>679</v>
      </c>
      <c r="D231" s="2" t="s">
        <v>27</v>
      </c>
      <c r="E231" s="0" t="str">
        <f aca="false">VLOOKUP(D231,Fornitori!$A$2:$C$6,2,FALSE())</f>
        <v>Guarnizioni Alpi</v>
      </c>
      <c r="F231" s="0" t="n">
        <v>46</v>
      </c>
      <c r="G231" s="0" t="n">
        <v>12</v>
      </c>
      <c r="H231" s="0" t="str">
        <f aca="false">IF(F231&lt;G231,"SI","NO")</f>
        <v>NO</v>
      </c>
    </row>
    <row r="232" customFormat="false" ht="15" hidden="false" customHeight="false" outlineLevel="0" collapsed="false">
      <c r="A232" s="0" t="s">
        <v>680</v>
      </c>
      <c r="B232" s="0" t="s">
        <v>681</v>
      </c>
      <c r="C232" s="0" t="s">
        <v>682</v>
      </c>
      <c r="D232" s="2" t="s">
        <v>11</v>
      </c>
      <c r="E232" s="0" t="str">
        <f aca="false">VLOOKUP(D232,Fornitori!$A$2:$C$6,2,FALSE())</f>
        <v>Meccanica Bassi S.r.l.</v>
      </c>
      <c r="F232" s="0" t="n">
        <v>4</v>
      </c>
      <c r="G232" s="0" t="n">
        <v>23</v>
      </c>
      <c r="H232" s="0" t="str">
        <f aca="false">IF(F232&lt;G232,"SI","NO")</f>
        <v>SI</v>
      </c>
    </row>
    <row r="233" customFormat="false" ht="15" hidden="false" customHeight="false" outlineLevel="0" collapsed="false">
      <c r="A233" s="0" t="s">
        <v>683</v>
      </c>
      <c r="B233" s="0" t="s">
        <v>166</v>
      </c>
      <c r="C233" s="0" t="s">
        <v>684</v>
      </c>
      <c r="D233" s="2" t="s">
        <v>15</v>
      </c>
      <c r="E233" s="0" t="str">
        <f aca="false">VLOOKUP(D233,Fornitori!$A$2:$C$6,2,FALSE())</f>
        <v>Rulmeca Italia</v>
      </c>
      <c r="F233" s="0" t="n">
        <v>6</v>
      </c>
      <c r="G233" s="0" t="n">
        <v>24</v>
      </c>
      <c r="H233" s="0" t="str">
        <f aca="false">IF(F233&lt;G233,"SI","NO")</f>
        <v>SI</v>
      </c>
    </row>
    <row r="234" customFormat="false" ht="15" hidden="false" customHeight="false" outlineLevel="0" collapsed="false">
      <c r="A234" s="0" t="s">
        <v>685</v>
      </c>
      <c r="B234" s="0" t="s">
        <v>686</v>
      </c>
      <c r="C234" s="0" t="s">
        <v>687</v>
      </c>
      <c r="D234" s="2" t="s">
        <v>19</v>
      </c>
      <c r="E234" s="0" t="str">
        <f aca="false">VLOOKUP(D234,Fornitori!$A$2:$C$6,2,FALSE())</f>
        <v>Elettrotecnica Ferri</v>
      </c>
      <c r="F234" s="0" t="n">
        <v>1</v>
      </c>
      <c r="G234" s="0" t="n">
        <v>6</v>
      </c>
      <c r="H234" s="0" t="str">
        <f aca="false">IF(F234&lt;G234,"SI","NO")</f>
        <v>SI</v>
      </c>
    </row>
    <row r="235" customFormat="false" ht="15" hidden="false" customHeight="false" outlineLevel="0" collapsed="false">
      <c r="A235" s="0" t="s">
        <v>688</v>
      </c>
      <c r="B235" s="0" t="s">
        <v>689</v>
      </c>
      <c r="C235" s="0" t="s">
        <v>690</v>
      </c>
      <c r="D235" s="2" t="s">
        <v>23</v>
      </c>
      <c r="E235" s="0" t="str">
        <f aca="false">VLOOKUP(D235,Fornitori!$A$2:$C$6,2,FALSE())</f>
        <v>Pneumax Service</v>
      </c>
      <c r="F235" s="0" t="n">
        <v>47</v>
      </c>
      <c r="G235" s="0" t="n">
        <v>6</v>
      </c>
      <c r="H235" s="0" t="str">
        <f aca="false">IF(F235&lt;G235,"SI","NO")</f>
        <v>NO</v>
      </c>
    </row>
    <row r="236" customFormat="false" ht="15" hidden="false" customHeight="false" outlineLevel="0" collapsed="false">
      <c r="A236" s="0" t="s">
        <v>691</v>
      </c>
      <c r="B236" s="0" t="s">
        <v>692</v>
      </c>
      <c r="C236" s="0" t="s">
        <v>693</v>
      </c>
      <c r="D236" s="2" t="s">
        <v>27</v>
      </c>
      <c r="E236" s="0" t="str">
        <f aca="false">VLOOKUP(D236,Fornitori!$A$2:$C$6,2,FALSE())</f>
        <v>Guarnizioni Alpi</v>
      </c>
      <c r="F236" s="0" t="n">
        <v>52</v>
      </c>
      <c r="G236" s="0" t="n">
        <v>22</v>
      </c>
      <c r="H236" s="0" t="str">
        <f aca="false">IF(F236&lt;G236,"SI","NO")</f>
        <v>NO</v>
      </c>
    </row>
    <row r="237" customFormat="false" ht="15" hidden="false" customHeight="false" outlineLevel="0" collapsed="false">
      <c r="A237" s="0" t="s">
        <v>694</v>
      </c>
      <c r="B237" s="0" t="s">
        <v>695</v>
      </c>
      <c r="C237" s="0" t="s">
        <v>696</v>
      </c>
      <c r="D237" s="2" t="s">
        <v>11</v>
      </c>
      <c r="E237" s="0" t="str">
        <f aca="false">VLOOKUP(D237,Fornitori!$A$2:$C$6,2,FALSE())</f>
        <v>Meccanica Bassi S.r.l.</v>
      </c>
      <c r="F237" s="0" t="n">
        <v>13</v>
      </c>
      <c r="G237" s="0" t="n">
        <v>8</v>
      </c>
      <c r="H237" s="0" t="str">
        <f aca="false">IF(F237&lt;G237,"SI","NO")</f>
        <v>NO</v>
      </c>
    </row>
    <row r="238" customFormat="false" ht="15" hidden="false" customHeight="false" outlineLevel="0" collapsed="false">
      <c r="A238" s="0" t="s">
        <v>697</v>
      </c>
      <c r="B238" s="0" t="s">
        <v>698</v>
      </c>
      <c r="C238" s="0" t="s">
        <v>699</v>
      </c>
      <c r="D238" s="2" t="s">
        <v>15</v>
      </c>
      <c r="E238" s="0" t="str">
        <f aca="false">VLOOKUP(D238,Fornitori!$A$2:$C$6,2,FALSE())</f>
        <v>Rulmeca Italia</v>
      </c>
      <c r="F238" s="0" t="n">
        <v>18</v>
      </c>
      <c r="G238" s="0" t="n">
        <v>20</v>
      </c>
      <c r="H238" s="0" t="str">
        <f aca="false">IF(F238&lt;G238,"SI","NO")</f>
        <v>SI</v>
      </c>
    </row>
    <row r="239" customFormat="false" ht="15" hidden="false" customHeight="false" outlineLevel="0" collapsed="false">
      <c r="A239" s="0" t="s">
        <v>700</v>
      </c>
      <c r="B239" s="0" t="s">
        <v>701</v>
      </c>
      <c r="C239" s="0" t="s">
        <v>702</v>
      </c>
      <c r="D239" s="2" t="s">
        <v>19</v>
      </c>
      <c r="E239" s="0" t="str">
        <f aca="false">VLOOKUP(D239,Fornitori!$A$2:$C$6,2,FALSE())</f>
        <v>Elettrotecnica Ferri</v>
      </c>
      <c r="F239" s="0" t="n">
        <v>18</v>
      </c>
      <c r="G239" s="0" t="n">
        <v>15</v>
      </c>
      <c r="H239" s="0" t="str">
        <f aca="false">IF(F239&lt;G239,"SI","NO")</f>
        <v>NO</v>
      </c>
    </row>
    <row r="240" customFormat="false" ht="15" hidden="false" customHeight="false" outlineLevel="0" collapsed="false">
      <c r="A240" s="0" t="s">
        <v>703</v>
      </c>
      <c r="B240" s="0" t="s">
        <v>704</v>
      </c>
      <c r="C240" s="0" t="s">
        <v>705</v>
      </c>
      <c r="D240" s="2" t="s">
        <v>23</v>
      </c>
      <c r="E240" s="0" t="str">
        <f aca="false">VLOOKUP(D240,Fornitori!$A$2:$C$6,2,FALSE())</f>
        <v>Pneumax Service</v>
      </c>
      <c r="F240" s="0" t="n">
        <v>16</v>
      </c>
      <c r="G240" s="0" t="n">
        <v>14</v>
      </c>
      <c r="H240" s="0" t="str">
        <f aca="false">IF(F240&lt;G240,"SI","NO")</f>
        <v>NO</v>
      </c>
    </row>
    <row r="241" customFormat="false" ht="15" hidden="false" customHeight="false" outlineLevel="0" collapsed="false">
      <c r="A241" s="0" t="s">
        <v>706</v>
      </c>
      <c r="B241" s="0" t="s">
        <v>707</v>
      </c>
      <c r="C241" s="0" t="s">
        <v>708</v>
      </c>
      <c r="D241" s="2" t="s">
        <v>27</v>
      </c>
      <c r="E241" s="0" t="str">
        <f aca="false">VLOOKUP(D241,Fornitori!$A$2:$C$6,2,FALSE())</f>
        <v>Guarnizioni Alpi</v>
      </c>
      <c r="F241" s="0" t="n">
        <v>30</v>
      </c>
      <c r="G241" s="0" t="n">
        <v>14</v>
      </c>
      <c r="H241" s="0" t="str">
        <f aca="false">IF(F241&lt;G241,"SI","NO")</f>
        <v>NO</v>
      </c>
    </row>
    <row r="242" customFormat="false" ht="15" hidden="false" customHeight="false" outlineLevel="0" collapsed="false">
      <c r="A242" s="0" t="s">
        <v>709</v>
      </c>
      <c r="B242" s="0" t="s">
        <v>710</v>
      </c>
      <c r="C242" s="0" t="s">
        <v>711</v>
      </c>
      <c r="D242" s="2" t="s">
        <v>11</v>
      </c>
      <c r="E242" s="0" t="str">
        <f aca="false">VLOOKUP(D242,Fornitori!$A$2:$C$6,2,FALSE())</f>
        <v>Meccanica Bassi S.r.l.</v>
      </c>
      <c r="F242" s="0" t="n">
        <v>49</v>
      </c>
      <c r="G242" s="0" t="n">
        <v>8</v>
      </c>
      <c r="H242" s="0" t="str">
        <f aca="false">IF(F242&lt;G242,"SI","NO")</f>
        <v>NO</v>
      </c>
    </row>
    <row r="243" customFormat="false" ht="15" hidden="false" customHeight="false" outlineLevel="0" collapsed="false">
      <c r="A243" s="0" t="s">
        <v>712</v>
      </c>
      <c r="B243" s="0" t="s">
        <v>713</v>
      </c>
      <c r="C243" s="0" t="s">
        <v>714</v>
      </c>
      <c r="D243" s="2" t="s">
        <v>15</v>
      </c>
      <c r="E243" s="0" t="str">
        <f aca="false">VLOOKUP(D243,Fornitori!$A$2:$C$6,2,FALSE())</f>
        <v>Rulmeca Italia</v>
      </c>
      <c r="F243" s="0" t="n">
        <v>13</v>
      </c>
      <c r="G243" s="0" t="n">
        <v>7</v>
      </c>
      <c r="H243" s="0" t="str">
        <f aca="false">IF(F243&lt;G243,"SI","NO")</f>
        <v>NO</v>
      </c>
    </row>
    <row r="244" customFormat="false" ht="15" hidden="false" customHeight="false" outlineLevel="0" collapsed="false">
      <c r="A244" s="0" t="s">
        <v>715</v>
      </c>
      <c r="B244" s="0" t="s">
        <v>716</v>
      </c>
      <c r="C244" s="0" t="s">
        <v>717</v>
      </c>
      <c r="D244" s="2" t="s">
        <v>19</v>
      </c>
      <c r="E244" s="0" t="str">
        <f aca="false">VLOOKUP(D244,Fornitori!$A$2:$C$6,2,FALSE())</f>
        <v>Elettrotecnica Ferri</v>
      </c>
      <c r="F244" s="0" t="n">
        <v>12</v>
      </c>
      <c r="G244" s="0" t="n">
        <v>14</v>
      </c>
      <c r="H244" s="0" t="str">
        <f aca="false">IF(F244&lt;G244,"SI","NO")</f>
        <v>SI</v>
      </c>
    </row>
    <row r="245" customFormat="false" ht="15" hidden="false" customHeight="false" outlineLevel="0" collapsed="false">
      <c r="A245" s="0" t="s">
        <v>718</v>
      </c>
      <c r="B245" s="0" t="s">
        <v>719</v>
      </c>
      <c r="C245" s="0" t="s">
        <v>102</v>
      </c>
      <c r="D245" s="2" t="s">
        <v>23</v>
      </c>
      <c r="E245" s="0" t="str">
        <f aca="false">VLOOKUP(D245,Fornitori!$A$2:$C$6,2,FALSE())</f>
        <v>Pneumax Service</v>
      </c>
      <c r="F245" s="0" t="n">
        <v>31</v>
      </c>
      <c r="G245" s="0" t="n">
        <v>10</v>
      </c>
      <c r="H245" s="0" t="str">
        <f aca="false">IF(F245&lt;G245,"SI","NO")</f>
        <v>NO</v>
      </c>
    </row>
    <row r="246" customFormat="false" ht="15" hidden="false" customHeight="false" outlineLevel="0" collapsed="false">
      <c r="A246" s="0" t="s">
        <v>720</v>
      </c>
      <c r="B246" s="0" t="s">
        <v>721</v>
      </c>
      <c r="C246" s="0" t="s">
        <v>598</v>
      </c>
      <c r="D246" s="2" t="s">
        <v>27</v>
      </c>
      <c r="E246" s="0" t="str">
        <f aca="false">VLOOKUP(D246,Fornitori!$A$2:$C$6,2,FALSE())</f>
        <v>Guarnizioni Alpi</v>
      </c>
      <c r="F246" s="0" t="n">
        <v>36</v>
      </c>
      <c r="G246" s="0" t="n">
        <v>10</v>
      </c>
      <c r="H246" s="0" t="str">
        <f aca="false">IF(F246&lt;G246,"SI","NO")</f>
        <v>NO</v>
      </c>
    </row>
    <row r="247" customFormat="false" ht="15" hidden="false" customHeight="false" outlineLevel="0" collapsed="false">
      <c r="A247" s="0" t="s">
        <v>722</v>
      </c>
      <c r="B247" s="0" t="s">
        <v>723</v>
      </c>
      <c r="C247" s="0" t="s">
        <v>724</v>
      </c>
      <c r="D247" s="2" t="s">
        <v>11</v>
      </c>
      <c r="E247" s="0" t="str">
        <f aca="false">VLOOKUP(D247,Fornitori!$A$2:$C$6,2,FALSE())</f>
        <v>Meccanica Bassi S.r.l.</v>
      </c>
      <c r="F247" s="0" t="n">
        <v>7</v>
      </c>
      <c r="G247" s="0" t="n">
        <v>7</v>
      </c>
      <c r="H247" s="0" t="str">
        <f aca="false">IF(F247&lt;G247,"SI","NO")</f>
        <v>NO</v>
      </c>
    </row>
    <row r="248" customFormat="false" ht="15" hidden="false" customHeight="false" outlineLevel="0" collapsed="false">
      <c r="A248" s="0" t="s">
        <v>725</v>
      </c>
      <c r="B248" s="0" t="s">
        <v>726</v>
      </c>
      <c r="C248" s="0" t="s">
        <v>727</v>
      </c>
      <c r="D248" s="2" t="s">
        <v>15</v>
      </c>
      <c r="E248" s="0" t="str">
        <f aca="false">VLOOKUP(D248,Fornitori!$A$2:$C$6,2,FALSE())</f>
        <v>Rulmeca Italia</v>
      </c>
      <c r="F248" s="0" t="n">
        <v>22</v>
      </c>
      <c r="G248" s="0" t="n">
        <v>8</v>
      </c>
      <c r="H248" s="0" t="str">
        <f aca="false">IF(F248&lt;G248,"SI","NO")</f>
        <v>NO</v>
      </c>
    </row>
    <row r="249" customFormat="false" ht="15" hidden="false" customHeight="false" outlineLevel="0" collapsed="false">
      <c r="A249" s="0" t="s">
        <v>728</v>
      </c>
      <c r="B249" s="0" t="s">
        <v>729</v>
      </c>
      <c r="C249" s="0" t="s">
        <v>194</v>
      </c>
      <c r="D249" s="2" t="s">
        <v>19</v>
      </c>
      <c r="E249" s="0" t="str">
        <f aca="false">VLOOKUP(D249,Fornitori!$A$2:$C$6,2,FALSE())</f>
        <v>Elettrotecnica Ferri</v>
      </c>
      <c r="F249" s="0" t="n">
        <v>41</v>
      </c>
      <c r="G249" s="0" t="n">
        <v>5</v>
      </c>
      <c r="H249" s="0" t="str">
        <f aca="false">IF(F249&lt;G249,"SI","NO")</f>
        <v>NO</v>
      </c>
    </row>
    <row r="250" customFormat="false" ht="15" hidden="false" customHeight="false" outlineLevel="0" collapsed="false">
      <c r="A250" s="0" t="s">
        <v>730</v>
      </c>
      <c r="B250" s="0" t="s">
        <v>731</v>
      </c>
      <c r="C250" s="0" t="s">
        <v>732</v>
      </c>
      <c r="D250" s="2" t="s">
        <v>23</v>
      </c>
      <c r="E250" s="0" t="str">
        <f aca="false">VLOOKUP(D250,Fornitori!$A$2:$C$6,2,FALSE())</f>
        <v>Pneumax Service</v>
      </c>
      <c r="F250" s="0" t="n">
        <v>57</v>
      </c>
      <c r="G250" s="0" t="n">
        <v>22</v>
      </c>
      <c r="H250" s="0" t="str">
        <f aca="false">IF(F250&lt;G250,"SI","NO")</f>
        <v>NO</v>
      </c>
    </row>
    <row r="251" customFormat="false" ht="15" hidden="false" customHeight="false" outlineLevel="0" collapsed="false">
      <c r="A251" s="0" t="s">
        <v>733</v>
      </c>
      <c r="B251" s="0" t="s">
        <v>734</v>
      </c>
      <c r="C251" s="0" t="s">
        <v>735</v>
      </c>
      <c r="D251" s="2" t="s">
        <v>27</v>
      </c>
      <c r="E251" s="0" t="str">
        <f aca="false">VLOOKUP(D251,Fornitori!$A$2:$C$6,2,FALSE())</f>
        <v>Guarnizioni Alpi</v>
      </c>
      <c r="F251" s="0" t="n">
        <v>34</v>
      </c>
      <c r="G251" s="0" t="n">
        <v>24</v>
      </c>
      <c r="H251" s="0" t="str">
        <f aca="false">IF(F251&lt;G251,"SI","NO")</f>
        <v>NO</v>
      </c>
    </row>
    <row r="252" customFormat="false" ht="15" hidden="false" customHeight="false" outlineLevel="0" collapsed="false">
      <c r="A252" s="0" t="s">
        <v>736</v>
      </c>
      <c r="B252" s="0" t="s">
        <v>737</v>
      </c>
      <c r="C252" s="0" t="s">
        <v>738</v>
      </c>
      <c r="D252" s="2" t="s">
        <v>11</v>
      </c>
      <c r="E252" s="0" t="str">
        <f aca="false">VLOOKUP(D252,Fornitori!$A$2:$C$6,2,FALSE())</f>
        <v>Meccanica Bassi S.r.l.</v>
      </c>
      <c r="F252" s="0" t="n">
        <v>55</v>
      </c>
      <c r="G252" s="0" t="n">
        <v>19</v>
      </c>
      <c r="H252" s="0" t="str">
        <f aca="false">IF(F252&lt;G252,"SI","NO")</f>
        <v>NO</v>
      </c>
    </row>
    <row r="253" customFormat="false" ht="15" hidden="false" customHeight="false" outlineLevel="0" collapsed="false">
      <c r="A253" s="0" t="s">
        <v>739</v>
      </c>
      <c r="B253" s="0" t="s">
        <v>740</v>
      </c>
      <c r="C253" s="0" t="s">
        <v>203</v>
      </c>
      <c r="D253" s="2" t="s">
        <v>15</v>
      </c>
      <c r="E253" s="0" t="str">
        <f aca="false">VLOOKUP(D253,Fornitori!$A$2:$C$6,2,FALSE())</f>
        <v>Rulmeca Italia</v>
      </c>
      <c r="F253" s="0" t="n">
        <v>49</v>
      </c>
      <c r="G253" s="0" t="n">
        <v>13</v>
      </c>
      <c r="H253" s="0" t="str">
        <f aca="false">IF(F253&lt;G253,"SI","NO")</f>
        <v>NO</v>
      </c>
    </row>
    <row r="254" customFormat="false" ht="15" hidden="false" customHeight="false" outlineLevel="0" collapsed="false">
      <c r="A254" s="0" t="s">
        <v>741</v>
      </c>
      <c r="B254" s="0" t="s">
        <v>742</v>
      </c>
      <c r="C254" s="0" t="s">
        <v>743</v>
      </c>
      <c r="D254" s="2" t="s">
        <v>19</v>
      </c>
      <c r="E254" s="0" t="str">
        <f aca="false">VLOOKUP(D254,Fornitori!$A$2:$C$6,2,FALSE())</f>
        <v>Elettrotecnica Ferri</v>
      </c>
      <c r="F254" s="0" t="n">
        <v>56</v>
      </c>
      <c r="G254" s="0" t="n">
        <v>12</v>
      </c>
      <c r="H254" s="0" t="str">
        <f aca="false">IF(F254&lt;G254,"SI","NO")</f>
        <v>NO</v>
      </c>
    </row>
    <row r="255" customFormat="false" ht="15" hidden="false" customHeight="false" outlineLevel="0" collapsed="false">
      <c r="A255" s="0" t="s">
        <v>744</v>
      </c>
      <c r="B255" s="0" t="s">
        <v>745</v>
      </c>
      <c r="C255" s="0" t="s">
        <v>746</v>
      </c>
      <c r="D255" s="2" t="s">
        <v>23</v>
      </c>
      <c r="E255" s="0" t="str">
        <f aca="false">VLOOKUP(D255,Fornitori!$A$2:$C$6,2,FALSE())</f>
        <v>Pneumax Service</v>
      </c>
      <c r="F255" s="0" t="n">
        <v>53</v>
      </c>
      <c r="G255" s="0" t="n">
        <v>24</v>
      </c>
      <c r="H255" s="0" t="str">
        <f aca="false">IF(F255&lt;G255,"SI","NO")</f>
        <v>NO</v>
      </c>
    </row>
    <row r="256" customFormat="false" ht="15" hidden="false" customHeight="false" outlineLevel="0" collapsed="false">
      <c r="A256" s="0" t="s">
        <v>747</v>
      </c>
      <c r="B256" s="0" t="s">
        <v>748</v>
      </c>
      <c r="C256" s="0" t="s">
        <v>749</v>
      </c>
      <c r="D256" s="2" t="s">
        <v>27</v>
      </c>
      <c r="E256" s="0" t="str">
        <f aca="false">VLOOKUP(D256,Fornitori!$A$2:$C$6,2,FALSE())</f>
        <v>Guarnizioni Alpi</v>
      </c>
      <c r="F256" s="0" t="n">
        <v>38</v>
      </c>
      <c r="G256" s="0" t="n">
        <v>21</v>
      </c>
      <c r="H256" s="0" t="str">
        <f aca="false">IF(F256&lt;G256,"SI","NO")</f>
        <v>NO</v>
      </c>
    </row>
    <row r="257" customFormat="false" ht="15" hidden="false" customHeight="false" outlineLevel="0" collapsed="false">
      <c r="A257" s="0" t="s">
        <v>750</v>
      </c>
      <c r="B257" s="0" t="s">
        <v>751</v>
      </c>
      <c r="C257" s="0" t="s">
        <v>131</v>
      </c>
      <c r="D257" s="2" t="s">
        <v>11</v>
      </c>
      <c r="E257" s="0" t="str">
        <f aca="false">VLOOKUP(D257,Fornitori!$A$2:$C$6,2,FALSE())</f>
        <v>Meccanica Bassi S.r.l.</v>
      </c>
      <c r="F257" s="0" t="n">
        <v>16</v>
      </c>
      <c r="G257" s="0" t="n">
        <v>8</v>
      </c>
      <c r="H257" s="0" t="str">
        <f aca="false">IF(F257&lt;G257,"SI","NO")</f>
        <v>NO</v>
      </c>
    </row>
    <row r="258" customFormat="false" ht="15" hidden="false" customHeight="false" outlineLevel="0" collapsed="false">
      <c r="A258" s="0" t="s">
        <v>752</v>
      </c>
      <c r="B258" s="0" t="s">
        <v>753</v>
      </c>
      <c r="C258" s="0" t="s">
        <v>267</v>
      </c>
      <c r="D258" s="2" t="s">
        <v>15</v>
      </c>
      <c r="E258" s="0" t="str">
        <f aca="false">VLOOKUP(D258,Fornitori!$A$2:$C$6,2,FALSE())</f>
        <v>Rulmeca Italia</v>
      </c>
      <c r="F258" s="0" t="n">
        <v>9</v>
      </c>
      <c r="G258" s="0" t="n">
        <v>9</v>
      </c>
      <c r="H258" s="0" t="str">
        <f aca="false">IF(F258&lt;G258,"SI","NO")</f>
        <v>NO</v>
      </c>
    </row>
    <row r="259" customFormat="false" ht="15" hidden="false" customHeight="false" outlineLevel="0" collapsed="false">
      <c r="A259" s="0" t="s">
        <v>754</v>
      </c>
      <c r="B259" s="0" t="s">
        <v>755</v>
      </c>
      <c r="C259" s="0" t="s">
        <v>756</v>
      </c>
      <c r="D259" s="2" t="s">
        <v>19</v>
      </c>
      <c r="E259" s="0" t="str">
        <f aca="false">VLOOKUP(D259,Fornitori!$A$2:$C$6,2,FALSE())</f>
        <v>Elettrotecnica Ferri</v>
      </c>
      <c r="F259" s="0" t="n">
        <v>6</v>
      </c>
      <c r="G259" s="0" t="n">
        <v>8</v>
      </c>
      <c r="H259" s="0" t="str">
        <f aca="false">IF(F259&lt;G259,"SI","NO")</f>
        <v>SI</v>
      </c>
    </row>
    <row r="260" customFormat="false" ht="15" hidden="false" customHeight="false" outlineLevel="0" collapsed="false">
      <c r="A260" s="0" t="s">
        <v>757</v>
      </c>
      <c r="B260" s="0" t="s">
        <v>731</v>
      </c>
      <c r="C260" s="0" t="s">
        <v>758</v>
      </c>
      <c r="D260" s="2" t="s">
        <v>23</v>
      </c>
      <c r="E260" s="0" t="str">
        <f aca="false">VLOOKUP(D260,Fornitori!$A$2:$C$6,2,FALSE())</f>
        <v>Pneumax Service</v>
      </c>
      <c r="F260" s="0" t="n">
        <v>0</v>
      </c>
      <c r="G260" s="0" t="n">
        <v>17</v>
      </c>
      <c r="H260" s="0" t="str">
        <f aca="false">IF(F260&lt;G260,"SI","NO")</f>
        <v>SI</v>
      </c>
    </row>
    <row r="261" customFormat="false" ht="15" hidden="false" customHeight="false" outlineLevel="0" collapsed="false">
      <c r="A261" s="0" t="s">
        <v>759</v>
      </c>
      <c r="B261" s="0" t="s">
        <v>760</v>
      </c>
      <c r="C261" s="0" t="s">
        <v>761</v>
      </c>
      <c r="D261" s="2" t="s">
        <v>27</v>
      </c>
      <c r="E261" s="0" t="str">
        <f aca="false">VLOOKUP(D261,Fornitori!$A$2:$C$6,2,FALSE())</f>
        <v>Guarnizioni Alpi</v>
      </c>
      <c r="F261" s="0" t="n">
        <v>18</v>
      </c>
      <c r="G261" s="0" t="n">
        <v>19</v>
      </c>
      <c r="H261" s="0" t="str">
        <f aca="false">IF(F261&lt;G261,"SI","NO")</f>
        <v>SI</v>
      </c>
    </row>
    <row r="262" customFormat="false" ht="15" hidden="false" customHeight="false" outlineLevel="0" collapsed="false">
      <c r="A262" s="0" t="s">
        <v>762</v>
      </c>
      <c r="B262" s="0" t="s">
        <v>763</v>
      </c>
      <c r="C262" s="0" t="s">
        <v>764</v>
      </c>
      <c r="D262" s="2" t="s">
        <v>11</v>
      </c>
      <c r="E262" s="0" t="str">
        <f aca="false">VLOOKUP(D262,Fornitori!$A$2:$C$6,2,FALSE())</f>
        <v>Meccanica Bassi S.r.l.</v>
      </c>
      <c r="F262" s="0" t="n">
        <v>25</v>
      </c>
      <c r="G262" s="0" t="n">
        <v>5</v>
      </c>
      <c r="H262" s="0" t="str">
        <f aca="false">IF(F262&lt;G262,"SI","NO")</f>
        <v>NO</v>
      </c>
    </row>
    <row r="263" customFormat="false" ht="15" hidden="false" customHeight="false" outlineLevel="0" collapsed="false">
      <c r="A263" s="0" t="s">
        <v>765</v>
      </c>
      <c r="B263" s="0" t="s">
        <v>766</v>
      </c>
      <c r="C263" s="0" t="s">
        <v>767</v>
      </c>
      <c r="D263" s="2" t="s">
        <v>15</v>
      </c>
      <c r="E263" s="0" t="str">
        <f aca="false">VLOOKUP(D263,Fornitori!$A$2:$C$6,2,FALSE())</f>
        <v>Rulmeca Italia</v>
      </c>
      <c r="F263" s="0" t="n">
        <v>46</v>
      </c>
      <c r="G263" s="0" t="n">
        <v>23</v>
      </c>
      <c r="H263" s="0" t="str">
        <f aca="false">IF(F263&lt;G263,"SI","NO")</f>
        <v>NO</v>
      </c>
    </row>
    <row r="264" customFormat="false" ht="15" hidden="false" customHeight="false" outlineLevel="0" collapsed="false">
      <c r="A264" s="0" t="s">
        <v>768</v>
      </c>
      <c r="B264" s="0" t="s">
        <v>769</v>
      </c>
      <c r="C264" s="0" t="s">
        <v>770</v>
      </c>
      <c r="D264" s="2" t="s">
        <v>19</v>
      </c>
      <c r="E264" s="0" t="str">
        <f aca="false">VLOOKUP(D264,Fornitori!$A$2:$C$6,2,FALSE())</f>
        <v>Elettrotecnica Ferri</v>
      </c>
      <c r="F264" s="0" t="n">
        <v>29</v>
      </c>
      <c r="G264" s="0" t="n">
        <v>18</v>
      </c>
      <c r="H264" s="0" t="str">
        <f aca="false">IF(F264&lt;G264,"SI","NO")</f>
        <v>NO</v>
      </c>
    </row>
    <row r="265" customFormat="false" ht="15" hidden="false" customHeight="false" outlineLevel="0" collapsed="false">
      <c r="A265" s="0" t="s">
        <v>771</v>
      </c>
      <c r="B265" s="0" t="s">
        <v>772</v>
      </c>
      <c r="C265" s="0" t="s">
        <v>773</v>
      </c>
      <c r="D265" s="2" t="s">
        <v>23</v>
      </c>
      <c r="E265" s="0" t="str">
        <f aca="false">VLOOKUP(D265,Fornitori!$A$2:$C$6,2,FALSE())</f>
        <v>Pneumax Service</v>
      </c>
      <c r="F265" s="0" t="n">
        <v>50</v>
      </c>
      <c r="G265" s="0" t="n">
        <v>17</v>
      </c>
      <c r="H265" s="0" t="str">
        <f aca="false">IF(F265&lt;G265,"SI","NO")</f>
        <v>NO</v>
      </c>
    </row>
    <row r="266" customFormat="false" ht="15" hidden="false" customHeight="false" outlineLevel="0" collapsed="false">
      <c r="A266" s="0" t="s">
        <v>774</v>
      </c>
      <c r="B266" s="0" t="s">
        <v>775</v>
      </c>
      <c r="C266" s="0" t="s">
        <v>776</v>
      </c>
      <c r="D266" s="2" t="s">
        <v>27</v>
      </c>
      <c r="E266" s="0" t="str">
        <f aca="false">VLOOKUP(D266,Fornitori!$A$2:$C$6,2,FALSE())</f>
        <v>Guarnizioni Alpi</v>
      </c>
      <c r="F266" s="0" t="n">
        <v>1</v>
      </c>
      <c r="G266" s="0" t="n">
        <v>24</v>
      </c>
      <c r="H266" s="0" t="str">
        <f aca="false">IF(F266&lt;G266,"SI","NO")</f>
        <v>SI</v>
      </c>
    </row>
    <row r="267" customFormat="false" ht="15" hidden="false" customHeight="false" outlineLevel="0" collapsed="false">
      <c r="A267" s="0" t="s">
        <v>777</v>
      </c>
      <c r="B267" s="0" t="s">
        <v>778</v>
      </c>
      <c r="C267" s="0" t="s">
        <v>779</v>
      </c>
      <c r="D267" s="2" t="s">
        <v>11</v>
      </c>
      <c r="E267" s="0" t="str">
        <f aca="false">VLOOKUP(D267,Fornitori!$A$2:$C$6,2,FALSE())</f>
        <v>Meccanica Bassi S.r.l.</v>
      </c>
      <c r="F267" s="0" t="n">
        <v>49</v>
      </c>
      <c r="G267" s="0" t="n">
        <v>5</v>
      </c>
      <c r="H267" s="0" t="str">
        <f aca="false">IF(F267&lt;G267,"SI","NO")</f>
        <v>NO</v>
      </c>
    </row>
    <row r="268" customFormat="false" ht="15" hidden="false" customHeight="false" outlineLevel="0" collapsed="false">
      <c r="A268" s="0" t="s">
        <v>780</v>
      </c>
      <c r="B268" s="0" t="s">
        <v>781</v>
      </c>
      <c r="C268" s="0" t="s">
        <v>782</v>
      </c>
      <c r="D268" s="2" t="s">
        <v>15</v>
      </c>
      <c r="E268" s="0" t="str">
        <f aca="false">VLOOKUP(D268,Fornitori!$A$2:$C$6,2,FALSE())</f>
        <v>Rulmeca Italia</v>
      </c>
      <c r="F268" s="0" t="n">
        <v>34</v>
      </c>
      <c r="G268" s="0" t="n">
        <v>11</v>
      </c>
      <c r="H268" s="0" t="str">
        <f aca="false">IF(F268&lt;G268,"SI","NO")</f>
        <v>NO</v>
      </c>
    </row>
    <row r="269" customFormat="false" ht="15" hidden="false" customHeight="false" outlineLevel="0" collapsed="false">
      <c r="A269" s="0" t="s">
        <v>783</v>
      </c>
      <c r="B269" s="0" t="s">
        <v>784</v>
      </c>
      <c r="C269" s="0" t="s">
        <v>785</v>
      </c>
      <c r="D269" s="2" t="s">
        <v>19</v>
      </c>
      <c r="E269" s="0" t="str">
        <f aca="false">VLOOKUP(D269,Fornitori!$A$2:$C$6,2,FALSE())</f>
        <v>Elettrotecnica Ferri</v>
      </c>
      <c r="F269" s="0" t="n">
        <v>36</v>
      </c>
      <c r="G269" s="0" t="n">
        <v>19</v>
      </c>
      <c r="H269" s="0" t="str">
        <f aca="false">IF(F269&lt;G269,"SI","NO")</f>
        <v>NO</v>
      </c>
    </row>
    <row r="270" customFormat="false" ht="15" hidden="false" customHeight="false" outlineLevel="0" collapsed="false">
      <c r="A270" s="0" t="s">
        <v>786</v>
      </c>
      <c r="B270" s="0" t="s">
        <v>787</v>
      </c>
      <c r="C270" s="0" t="s">
        <v>788</v>
      </c>
      <c r="D270" s="2" t="s">
        <v>23</v>
      </c>
      <c r="E270" s="0" t="str">
        <f aca="false">VLOOKUP(D270,Fornitori!$A$2:$C$6,2,FALSE())</f>
        <v>Pneumax Service</v>
      </c>
      <c r="F270" s="0" t="n">
        <v>53</v>
      </c>
      <c r="G270" s="0" t="n">
        <v>16</v>
      </c>
      <c r="H270" s="0" t="str">
        <f aca="false">IF(F270&lt;G270,"SI","NO")</f>
        <v>NO</v>
      </c>
    </row>
    <row r="271" customFormat="false" ht="15" hidden="false" customHeight="false" outlineLevel="0" collapsed="false">
      <c r="A271" s="0" t="s">
        <v>789</v>
      </c>
      <c r="B271" s="0" t="s">
        <v>790</v>
      </c>
      <c r="C271" s="0" t="s">
        <v>791</v>
      </c>
      <c r="D271" s="2" t="s">
        <v>27</v>
      </c>
      <c r="E271" s="0" t="str">
        <f aca="false">VLOOKUP(D271,Fornitori!$A$2:$C$6,2,FALSE())</f>
        <v>Guarnizioni Alpi</v>
      </c>
      <c r="F271" s="0" t="n">
        <v>11</v>
      </c>
      <c r="G271" s="0" t="n">
        <v>17</v>
      </c>
      <c r="H271" s="0" t="str">
        <f aca="false">IF(F271&lt;G271,"SI","NO")</f>
        <v>SI</v>
      </c>
    </row>
    <row r="272" customFormat="false" ht="15" hidden="false" customHeight="false" outlineLevel="0" collapsed="false">
      <c r="A272" s="0" t="s">
        <v>792</v>
      </c>
      <c r="B272" s="0" t="s">
        <v>793</v>
      </c>
      <c r="C272" s="0" t="s">
        <v>794</v>
      </c>
      <c r="D272" s="2" t="s">
        <v>11</v>
      </c>
      <c r="E272" s="0" t="str">
        <f aca="false">VLOOKUP(D272,Fornitori!$A$2:$C$6,2,FALSE())</f>
        <v>Meccanica Bassi S.r.l.</v>
      </c>
      <c r="F272" s="0" t="n">
        <v>16</v>
      </c>
      <c r="G272" s="0" t="n">
        <v>13</v>
      </c>
      <c r="H272" s="0" t="str">
        <f aca="false">IF(F272&lt;G272,"SI","NO")</f>
        <v>NO</v>
      </c>
    </row>
    <row r="273" customFormat="false" ht="15" hidden="false" customHeight="false" outlineLevel="0" collapsed="false">
      <c r="A273" s="0" t="s">
        <v>795</v>
      </c>
      <c r="B273" s="0" t="s">
        <v>796</v>
      </c>
      <c r="C273" s="0" t="s">
        <v>797</v>
      </c>
      <c r="D273" s="2" t="s">
        <v>15</v>
      </c>
      <c r="E273" s="0" t="str">
        <f aca="false">VLOOKUP(D273,Fornitori!$A$2:$C$6,2,FALSE())</f>
        <v>Rulmeca Italia</v>
      </c>
      <c r="F273" s="0" t="n">
        <v>26</v>
      </c>
      <c r="G273" s="0" t="n">
        <v>18</v>
      </c>
      <c r="H273" s="0" t="str">
        <f aca="false">IF(F273&lt;G273,"SI","NO")</f>
        <v>NO</v>
      </c>
    </row>
    <row r="274" customFormat="false" ht="15" hidden="false" customHeight="false" outlineLevel="0" collapsed="false">
      <c r="A274" s="0" t="s">
        <v>798</v>
      </c>
      <c r="B274" s="0" t="s">
        <v>799</v>
      </c>
      <c r="C274" s="0" t="s">
        <v>800</v>
      </c>
      <c r="D274" s="2" t="s">
        <v>19</v>
      </c>
      <c r="E274" s="0" t="str">
        <f aca="false">VLOOKUP(D274,Fornitori!$A$2:$C$6,2,FALSE())</f>
        <v>Elettrotecnica Ferri</v>
      </c>
      <c r="F274" s="0" t="n">
        <v>19</v>
      </c>
      <c r="G274" s="0" t="n">
        <v>17</v>
      </c>
      <c r="H274" s="0" t="str">
        <f aca="false">IF(F274&lt;G274,"SI","NO")</f>
        <v>NO</v>
      </c>
    </row>
    <row r="275" customFormat="false" ht="15" hidden="false" customHeight="false" outlineLevel="0" collapsed="false">
      <c r="A275" s="0" t="s">
        <v>801</v>
      </c>
      <c r="B275" s="0" t="s">
        <v>802</v>
      </c>
      <c r="C275" s="0" t="s">
        <v>618</v>
      </c>
      <c r="D275" s="2" t="s">
        <v>23</v>
      </c>
      <c r="E275" s="0" t="str">
        <f aca="false">VLOOKUP(D275,Fornitori!$A$2:$C$6,2,FALSE())</f>
        <v>Pneumax Service</v>
      </c>
      <c r="F275" s="0" t="n">
        <v>8</v>
      </c>
      <c r="G275" s="0" t="n">
        <v>7</v>
      </c>
      <c r="H275" s="0" t="str">
        <f aca="false">IF(F275&lt;G275,"SI","NO")</f>
        <v>NO</v>
      </c>
    </row>
    <row r="276" customFormat="false" ht="15" hidden="false" customHeight="false" outlineLevel="0" collapsed="false">
      <c r="A276" s="0" t="s">
        <v>803</v>
      </c>
      <c r="B276" s="0" t="s">
        <v>582</v>
      </c>
      <c r="C276" s="0" t="s">
        <v>804</v>
      </c>
      <c r="D276" s="2" t="s">
        <v>27</v>
      </c>
      <c r="E276" s="0" t="str">
        <f aca="false">VLOOKUP(D276,Fornitori!$A$2:$C$6,2,FALSE())</f>
        <v>Guarnizioni Alpi</v>
      </c>
      <c r="F276" s="0" t="n">
        <v>42</v>
      </c>
      <c r="G276" s="0" t="n">
        <v>18</v>
      </c>
      <c r="H276" s="0" t="str">
        <f aca="false">IF(F276&lt;G276,"SI","NO")</f>
        <v>NO</v>
      </c>
    </row>
    <row r="277" customFormat="false" ht="15" hidden="false" customHeight="false" outlineLevel="0" collapsed="false">
      <c r="A277" s="0" t="s">
        <v>805</v>
      </c>
      <c r="B277" s="0" t="s">
        <v>806</v>
      </c>
      <c r="C277" s="0" t="s">
        <v>807</v>
      </c>
      <c r="D277" s="2" t="s">
        <v>11</v>
      </c>
      <c r="E277" s="0" t="str">
        <f aca="false">VLOOKUP(D277,Fornitori!$A$2:$C$6,2,FALSE())</f>
        <v>Meccanica Bassi S.r.l.</v>
      </c>
      <c r="F277" s="0" t="n">
        <v>50</v>
      </c>
      <c r="G277" s="0" t="n">
        <v>12</v>
      </c>
      <c r="H277" s="0" t="str">
        <f aca="false">IF(F277&lt;G277,"SI","NO")</f>
        <v>NO</v>
      </c>
    </row>
    <row r="278" customFormat="false" ht="15" hidden="false" customHeight="false" outlineLevel="0" collapsed="false">
      <c r="A278" s="0" t="s">
        <v>808</v>
      </c>
      <c r="B278" s="0" t="s">
        <v>809</v>
      </c>
      <c r="C278" s="0" t="s">
        <v>810</v>
      </c>
      <c r="D278" s="2" t="s">
        <v>15</v>
      </c>
      <c r="E278" s="0" t="str">
        <f aca="false">VLOOKUP(D278,Fornitori!$A$2:$C$6,2,FALSE())</f>
        <v>Rulmeca Italia</v>
      </c>
      <c r="F278" s="0" t="n">
        <v>11</v>
      </c>
      <c r="G278" s="0" t="n">
        <v>20</v>
      </c>
      <c r="H278" s="0" t="str">
        <f aca="false">IF(F278&lt;G278,"SI","NO")</f>
        <v>SI</v>
      </c>
    </row>
    <row r="279" customFormat="false" ht="15" hidden="false" customHeight="false" outlineLevel="0" collapsed="false">
      <c r="A279" s="0" t="s">
        <v>811</v>
      </c>
      <c r="B279" s="0" t="s">
        <v>812</v>
      </c>
      <c r="C279" s="0" t="s">
        <v>813</v>
      </c>
      <c r="D279" s="2" t="s">
        <v>19</v>
      </c>
      <c r="E279" s="0" t="str">
        <f aca="false">VLOOKUP(D279,Fornitori!$A$2:$C$6,2,FALSE())</f>
        <v>Elettrotecnica Ferri</v>
      </c>
      <c r="F279" s="0" t="n">
        <v>19</v>
      </c>
      <c r="G279" s="0" t="n">
        <v>15</v>
      </c>
      <c r="H279" s="0" t="str">
        <f aca="false">IF(F279&lt;G279,"SI","NO")</f>
        <v>NO</v>
      </c>
    </row>
    <row r="280" customFormat="false" ht="15" hidden="false" customHeight="false" outlineLevel="0" collapsed="false">
      <c r="A280" s="0" t="s">
        <v>814</v>
      </c>
      <c r="B280" s="0" t="s">
        <v>815</v>
      </c>
      <c r="C280" s="0" t="s">
        <v>816</v>
      </c>
      <c r="D280" s="2" t="s">
        <v>23</v>
      </c>
      <c r="E280" s="0" t="str">
        <f aca="false">VLOOKUP(D280,Fornitori!$A$2:$C$6,2,FALSE())</f>
        <v>Pneumax Service</v>
      </c>
      <c r="F280" s="0" t="n">
        <v>5</v>
      </c>
      <c r="G280" s="0" t="n">
        <v>16</v>
      </c>
      <c r="H280" s="0" t="str">
        <f aca="false">IF(F280&lt;G280,"SI","NO")</f>
        <v>SI</v>
      </c>
    </row>
    <row r="281" customFormat="false" ht="15" hidden="false" customHeight="false" outlineLevel="0" collapsed="false">
      <c r="A281" s="0" t="s">
        <v>817</v>
      </c>
      <c r="B281" s="0" t="s">
        <v>818</v>
      </c>
      <c r="C281" s="0" t="s">
        <v>484</v>
      </c>
      <c r="D281" s="2" t="s">
        <v>27</v>
      </c>
      <c r="E281" s="0" t="str">
        <f aca="false">VLOOKUP(D281,Fornitori!$A$2:$C$6,2,FALSE())</f>
        <v>Guarnizioni Alpi</v>
      </c>
      <c r="F281" s="0" t="n">
        <v>52</v>
      </c>
      <c r="G281" s="0" t="n">
        <v>23</v>
      </c>
      <c r="H281" s="0" t="str">
        <f aca="false">IF(F281&lt;G281,"SI","NO")</f>
        <v>NO</v>
      </c>
    </row>
    <row r="282" customFormat="false" ht="15" hidden="false" customHeight="false" outlineLevel="0" collapsed="false">
      <c r="A282" s="0" t="s">
        <v>819</v>
      </c>
      <c r="B282" s="0" t="s">
        <v>820</v>
      </c>
      <c r="C282" s="0" t="s">
        <v>821</v>
      </c>
      <c r="D282" s="2" t="s">
        <v>11</v>
      </c>
      <c r="E282" s="0" t="str">
        <f aca="false">VLOOKUP(D282,Fornitori!$A$2:$C$6,2,FALSE())</f>
        <v>Meccanica Bassi S.r.l.</v>
      </c>
      <c r="F282" s="0" t="n">
        <v>0</v>
      </c>
      <c r="G282" s="0" t="n">
        <v>5</v>
      </c>
      <c r="H282" s="0" t="str">
        <f aca="false">IF(F282&lt;G282,"SI","NO")</f>
        <v>SI</v>
      </c>
    </row>
    <row r="283" customFormat="false" ht="15" hidden="false" customHeight="false" outlineLevel="0" collapsed="false">
      <c r="A283" s="0" t="s">
        <v>822</v>
      </c>
      <c r="B283" s="0" t="s">
        <v>823</v>
      </c>
      <c r="C283" s="0" t="s">
        <v>824</v>
      </c>
      <c r="D283" s="2" t="s">
        <v>15</v>
      </c>
      <c r="E283" s="0" t="str">
        <f aca="false">VLOOKUP(D283,Fornitori!$A$2:$C$6,2,FALSE())</f>
        <v>Rulmeca Italia</v>
      </c>
      <c r="F283" s="0" t="n">
        <v>6</v>
      </c>
      <c r="G283" s="0" t="n">
        <v>23</v>
      </c>
      <c r="H283" s="0" t="str">
        <f aca="false">IF(F283&lt;G283,"SI","NO")</f>
        <v>SI</v>
      </c>
    </row>
    <row r="284" customFormat="false" ht="15" hidden="false" customHeight="false" outlineLevel="0" collapsed="false">
      <c r="A284" s="0" t="s">
        <v>825</v>
      </c>
      <c r="B284" s="0" t="s">
        <v>489</v>
      </c>
      <c r="C284" s="0" t="s">
        <v>807</v>
      </c>
      <c r="D284" s="2" t="s">
        <v>19</v>
      </c>
      <c r="E284" s="0" t="str">
        <f aca="false">VLOOKUP(D284,Fornitori!$A$2:$C$6,2,FALSE())</f>
        <v>Elettrotecnica Ferri</v>
      </c>
      <c r="F284" s="0" t="n">
        <v>50</v>
      </c>
      <c r="G284" s="0" t="n">
        <v>9</v>
      </c>
      <c r="H284" s="0" t="str">
        <f aca="false">IF(F284&lt;G284,"SI","NO")</f>
        <v>NO</v>
      </c>
    </row>
    <row r="285" customFormat="false" ht="15" hidden="false" customHeight="false" outlineLevel="0" collapsed="false">
      <c r="A285" s="0" t="s">
        <v>826</v>
      </c>
      <c r="B285" s="0" t="s">
        <v>827</v>
      </c>
      <c r="C285" s="0" t="s">
        <v>828</v>
      </c>
      <c r="D285" s="2" t="s">
        <v>23</v>
      </c>
      <c r="E285" s="0" t="str">
        <f aca="false">VLOOKUP(D285,Fornitori!$A$2:$C$6,2,FALSE())</f>
        <v>Pneumax Service</v>
      </c>
      <c r="F285" s="0" t="n">
        <v>44</v>
      </c>
      <c r="G285" s="0" t="n">
        <v>24</v>
      </c>
      <c r="H285" s="0" t="str">
        <f aca="false">IF(F285&lt;G285,"SI","NO")</f>
        <v>NO</v>
      </c>
    </row>
    <row r="286" customFormat="false" ht="15" hidden="false" customHeight="false" outlineLevel="0" collapsed="false">
      <c r="A286" s="0" t="s">
        <v>829</v>
      </c>
      <c r="B286" s="0" t="s">
        <v>830</v>
      </c>
      <c r="C286" s="0" t="s">
        <v>831</v>
      </c>
      <c r="D286" s="2" t="s">
        <v>27</v>
      </c>
      <c r="E286" s="0" t="str">
        <f aca="false">VLOOKUP(D286,Fornitori!$A$2:$C$6,2,FALSE())</f>
        <v>Guarnizioni Alpi</v>
      </c>
      <c r="F286" s="0" t="n">
        <v>44</v>
      </c>
      <c r="G286" s="0" t="n">
        <v>11</v>
      </c>
      <c r="H286" s="0" t="str">
        <f aca="false">IF(F286&lt;G286,"SI","NO")</f>
        <v>NO</v>
      </c>
    </row>
    <row r="287" customFormat="false" ht="15" hidden="false" customHeight="false" outlineLevel="0" collapsed="false">
      <c r="A287" s="0" t="s">
        <v>832</v>
      </c>
      <c r="B287" s="0" t="s">
        <v>833</v>
      </c>
      <c r="C287" s="0" t="s">
        <v>834</v>
      </c>
      <c r="D287" s="2" t="s">
        <v>11</v>
      </c>
      <c r="E287" s="0" t="str">
        <f aca="false">VLOOKUP(D287,Fornitori!$A$2:$C$6,2,FALSE())</f>
        <v>Meccanica Bassi S.r.l.</v>
      </c>
      <c r="F287" s="0" t="n">
        <v>16</v>
      </c>
      <c r="G287" s="0" t="n">
        <v>18</v>
      </c>
      <c r="H287" s="0" t="str">
        <f aca="false">IF(F287&lt;G287,"SI","NO")</f>
        <v>SI</v>
      </c>
    </row>
    <row r="288" customFormat="false" ht="15" hidden="false" customHeight="false" outlineLevel="0" collapsed="false">
      <c r="A288" s="0" t="s">
        <v>835</v>
      </c>
      <c r="B288" s="0" t="s">
        <v>836</v>
      </c>
      <c r="C288" s="0" t="s">
        <v>837</v>
      </c>
      <c r="D288" s="2" t="s">
        <v>15</v>
      </c>
      <c r="E288" s="0" t="str">
        <f aca="false">VLOOKUP(D288,Fornitori!$A$2:$C$6,2,FALSE())</f>
        <v>Rulmeca Italia</v>
      </c>
      <c r="F288" s="0" t="n">
        <v>3</v>
      </c>
      <c r="G288" s="0" t="n">
        <v>20</v>
      </c>
      <c r="H288" s="0" t="str">
        <f aca="false">IF(F288&lt;G288,"SI","NO")</f>
        <v>SI</v>
      </c>
    </row>
    <row r="289" customFormat="false" ht="15" hidden="false" customHeight="false" outlineLevel="0" collapsed="false">
      <c r="A289" s="0" t="s">
        <v>838</v>
      </c>
      <c r="B289" s="0" t="s">
        <v>839</v>
      </c>
      <c r="C289" s="0" t="s">
        <v>472</v>
      </c>
      <c r="D289" s="2" t="s">
        <v>19</v>
      </c>
      <c r="E289" s="0" t="str">
        <f aca="false">VLOOKUP(D289,Fornitori!$A$2:$C$6,2,FALSE())</f>
        <v>Elettrotecnica Ferri</v>
      </c>
      <c r="F289" s="0" t="n">
        <v>10</v>
      </c>
      <c r="G289" s="0" t="n">
        <v>22</v>
      </c>
      <c r="H289" s="0" t="str">
        <f aca="false">IF(F289&lt;G289,"SI","NO")</f>
        <v>SI</v>
      </c>
    </row>
    <row r="290" customFormat="false" ht="15" hidden="false" customHeight="false" outlineLevel="0" collapsed="false">
      <c r="A290" s="0" t="s">
        <v>840</v>
      </c>
      <c r="B290" s="0" t="s">
        <v>841</v>
      </c>
      <c r="C290" s="0" t="s">
        <v>842</v>
      </c>
      <c r="D290" s="2" t="s">
        <v>23</v>
      </c>
      <c r="E290" s="0" t="str">
        <f aca="false">VLOOKUP(D290,Fornitori!$A$2:$C$6,2,FALSE())</f>
        <v>Pneumax Service</v>
      </c>
      <c r="F290" s="0" t="n">
        <v>36</v>
      </c>
      <c r="G290" s="0" t="n">
        <v>20</v>
      </c>
      <c r="H290" s="0" t="str">
        <f aca="false">IF(F290&lt;G290,"SI","NO")</f>
        <v>NO</v>
      </c>
    </row>
    <row r="291" customFormat="false" ht="15" hidden="false" customHeight="false" outlineLevel="0" collapsed="false">
      <c r="A291" s="0" t="s">
        <v>843</v>
      </c>
      <c r="B291" s="0" t="s">
        <v>844</v>
      </c>
      <c r="C291" s="0" t="s">
        <v>363</v>
      </c>
      <c r="D291" s="2" t="s">
        <v>27</v>
      </c>
      <c r="E291" s="0" t="str">
        <f aca="false">VLOOKUP(D291,Fornitori!$A$2:$C$6,2,FALSE())</f>
        <v>Guarnizioni Alpi</v>
      </c>
      <c r="F291" s="0" t="n">
        <v>43</v>
      </c>
      <c r="G291" s="0" t="n">
        <v>7</v>
      </c>
      <c r="H291" s="0" t="str">
        <f aca="false">IF(F291&lt;G291,"SI","NO")</f>
        <v>NO</v>
      </c>
    </row>
    <row r="292" customFormat="false" ht="15" hidden="false" customHeight="false" outlineLevel="0" collapsed="false">
      <c r="A292" s="0" t="s">
        <v>845</v>
      </c>
      <c r="B292" s="0" t="s">
        <v>846</v>
      </c>
      <c r="C292" s="0" t="s">
        <v>847</v>
      </c>
      <c r="D292" s="2" t="s">
        <v>11</v>
      </c>
      <c r="E292" s="0" t="str">
        <f aca="false">VLOOKUP(D292,Fornitori!$A$2:$C$6,2,FALSE())</f>
        <v>Meccanica Bassi S.r.l.</v>
      </c>
      <c r="F292" s="0" t="n">
        <v>1</v>
      </c>
      <c r="G292" s="0" t="n">
        <v>5</v>
      </c>
      <c r="H292" s="0" t="str">
        <f aca="false">IF(F292&lt;G292,"SI","NO")</f>
        <v>SI</v>
      </c>
    </row>
    <row r="293" customFormat="false" ht="15" hidden="false" customHeight="false" outlineLevel="0" collapsed="false">
      <c r="A293" s="0" t="s">
        <v>848</v>
      </c>
      <c r="B293" s="0" t="s">
        <v>849</v>
      </c>
      <c r="C293" s="0" t="s">
        <v>850</v>
      </c>
      <c r="D293" s="2" t="s">
        <v>15</v>
      </c>
      <c r="E293" s="0" t="str">
        <f aca="false">VLOOKUP(D293,Fornitori!$A$2:$C$6,2,FALSE())</f>
        <v>Rulmeca Italia</v>
      </c>
      <c r="F293" s="0" t="n">
        <v>30</v>
      </c>
      <c r="G293" s="0" t="n">
        <v>20</v>
      </c>
      <c r="H293" s="0" t="str">
        <f aca="false">IF(F293&lt;G293,"SI","NO")</f>
        <v>NO</v>
      </c>
    </row>
    <row r="294" customFormat="false" ht="15" hidden="false" customHeight="false" outlineLevel="0" collapsed="false">
      <c r="A294" s="0" t="s">
        <v>851</v>
      </c>
      <c r="B294" s="0" t="s">
        <v>852</v>
      </c>
      <c r="C294" s="0" t="s">
        <v>853</v>
      </c>
      <c r="D294" s="2" t="s">
        <v>19</v>
      </c>
      <c r="E294" s="0" t="str">
        <f aca="false">VLOOKUP(D294,Fornitori!$A$2:$C$6,2,FALSE())</f>
        <v>Elettrotecnica Ferri</v>
      </c>
      <c r="F294" s="0" t="n">
        <v>40</v>
      </c>
      <c r="G294" s="0" t="n">
        <v>9</v>
      </c>
      <c r="H294" s="0" t="str">
        <f aca="false">IF(F294&lt;G294,"SI","NO")</f>
        <v>NO</v>
      </c>
    </row>
    <row r="295" customFormat="false" ht="15" hidden="false" customHeight="false" outlineLevel="0" collapsed="false">
      <c r="A295" s="0" t="s">
        <v>854</v>
      </c>
      <c r="B295" s="0" t="s">
        <v>855</v>
      </c>
      <c r="C295" s="0" t="s">
        <v>856</v>
      </c>
      <c r="D295" s="2" t="s">
        <v>23</v>
      </c>
      <c r="E295" s="0" t="str">
        <f aca="false">VLOOKUP(D295,Fornitori!$A$2:$C$6,2,FALSE())</f>
        <v>Pneumax Service</v>
      </c>
      <c r="F295" s="0" t="n">
        <v>49</v>
      </c>
      <c r="G295" s="0" t="n">
        <v>21</v>
      </c>
      <c r="H295" s="0" t="str">
        <f aca="false">IF(F295&lt;G295,"SI","NO")</f>
        <v>NO</v>
      </c>
    </row>
    <row r="296" customFormat="false" ht="15" hidden="false" customHeight="false" outlineLevel="0" collapsed="false">
      <c r="A296" s="0" t="s">
        <v>857</v>
      </c>
      <c r="B296" s="0" t="s">
        <v>858</v>
      </c>
      <c r="C296" s="0" t="s">
        <v>859</v>
      </c>
      <c r="D296" s="2" t="s">
        <v>27</v>
      </c>
      <c r="E296" s="0" t="str">
        <f aca="false">VLOOKUP(D296,Fornitori!$A$2:$C$6,2,FALSE())</f>
        <v>Guarnizioni Alpi</v>
      </c>
      <c r="F296" s="0" t="n">
        <v>16</v>
      </c>
      <c r="G296" s="0" t="n">
        <v>22</v>
      </c>
      <c r="H296" s="0" t="str">
        <f aca="false">IF(F296&lt;G296,"SI","NO")</f>
        <v>SI</v>
      </c>
    </row>
    <row r="297" customFormat="false" ht="15" hidden="false" customHeight="false" outlineLevel="0" collapsed="false">
      <c r="A297" s="0" t="s">
        <v>860</v>
      </c>
      <c r="B297" s="0" t="s">
        <v>861</v>
      </c>
      <c r="C297" s="0" t="s">
        <v>862</v>
      </c>
      <c r="D297" s="2" t="s">
        <v>11</v>
      </c>
      <c r="E297" s="0" t="str">
        <f aca="false">VLOOKUP(D297,Fornitori!$A$2:$C$6,2,FALSE())</f>
        <v>Meccanica Bassi S.r.l.</v>
      </c>
      <c r="F297" s="0" t="n">
        <v>31</v>
      </c>
      <c r="G297" s="0" t="n">
        <v>17</v>
      </c>
      <c r="H297" s="0" t="str">
        <f aca="false">IF(F297&lt;G297,"SI","NO")</f>
        <v>NO</v>
      </c>
    </row>
    <row r="298" customFormat="false" ht="15" hidden="false" customHeight="false" outlineLevel="0" collapsed="false">
      <c r="A298" s="0" t="s">
        <v>863</v>
      </c>
      <c r="B298" s="0" t="s">
        <v>864</v>
      </c>
      <c r="C298" s="0" t="s">
        <v>865</v>
      </c>
      <c r="D298" s="2" t="s">
        <v>15</v>
      </c>
      <c r="E298" s="0" t="str">
        <f aca="false">VLOOKUP(D298,Fornitori!$A$2:$C$6,2,FALSE())</f>
        <v>Rulmeca Italia</v>
      </c>
      <c r="F298" s="0" t="n">
        <v>13</v>
      </c>
      <c r="G298" s="0" t="n">
        <v>20</v>
      </c>
      <c r="H298" s="0" t="str">
        <f aca="false">IF(F298&lt;G298,"SI","NO")</f>
        <v>SI</v>
      </c>
    </row>
    <row r="299" customFormat="false" ht="15" hidden="false" customHeight="false" outlineLevel="0" collapsed="false">
      <c r="A299" s="0" t="s">
        <v>866</v>
      </c>
      <c r="B299" s="0" t="s">
        <v>867</v>
      </c>
      <c r="C299" s="0" t="s">
        <v>868</v>
      </c>
      <c r="D299" s="2" t="s">
        <v>19</v>
      </c>
      <c r="E299" s="0" t="str">
        <f aca="false">VLOOKUP(D299,Fornitori!$A$2:$C$6,2,FALSE())</f>
        <v>Elettrotecnica Ferri</v>
      </c>
      <c r="F299" s="0" t="n">
        <v>19</v>
      </c>
      <c r="G299" s="0" t="n">
        <v>9</v>
      </c>
      <c r="H299" s="0" t="str">
        <f aca="false">IF(F299&lt;G299,"SI","NO")</f>
        <v>NO</v>
      </c>
    </row>
    <row r="300" customFormat="false" ht="15" hidden="false" customHeight="false" outlineLevel="0" collapsed="false">
      <c r="A300" s="0" t="s">
        <v>869</v>
      </c>
      <c r="B300" s="0" t="s">
        <v>870</v>
      </c>
      <c r="C300" s="0" t="s">
        <v>871</v>
      </c>
      <c r="D300" s="2" t="s">
        <v>23</v>
      </c>
      <c r="E300" s="0" t="str">
        <f aca="false">VLOOKUP(D300,Fornitori!$A$2:$C$6,2,FALSE())</f>
        <v>Pneumax Service</v>
      </c>
      <c r="F300" s="0" t="n">
        <v>56</v>
      </c>
      <c r="G300" s="0" t="n">
        <v>17</v>
      </c>
      <c r="H300" s="0" t="str">
        <f aca="false">IF(F300&lt;G300,"SI","NO")</f>
        <v>NO</v>
      </c>
    </row>
    <row r="301" customFormat="false" ht="15" hidden="false" customHeight="false" outlineLevel="0" collapsed="false">
      <c r="A301" s="0" t="s">
        <v>872</v>
      </c>
      <c r="B301" s="0" t="s">
        <v>873</v>
      </c>
      <c r="C301" s="0" t="s">
        <v>874</v>
      </c>
      <c r="D301" s="2" t="s">
        <v>27</v>
      </c>
      <c r="E301" s="0" t="str">
        <f aca="false">VLOOKUP(D301,Fornitori!$A$2:$C$6,2,FALSE())</f>
        <v>Guarnizioni Alpi</v>
      </c>
      <c r="F301" s="0" t="n">
        <v>2</v>
      </c>
      <c r="G301" s="0" t="n">
        <v>11</v>
      </c>
      <c r="H301" s="0" t="str">
        <f aca="false">IF(F301&lt;G301,"SI","NO")</f>
        <v>SI</v>
      </c>
    </row>
    <row r="302" customFormat="false" ht="15" hidden="false" customHeight="false" outlineLevel="0" collapsed="false">
      <c r="A302" s="0" t="s">
        <v>875</v>
      </c>
      <c r="B302" s="0" t="s">
        <v>513</v>
      </c>
      <c r="C302" s="0" t="s">
        <v>651</v>
      </c>
      <c r="D302" s="2" t="s">
        <v>11</v>
      </c>
      <c r="E302" s="0" t="str">
        <f aca="false">VLOOKUP(D302,Fornitori!$A$2:$C$6,2,FALSE())</f>
        <v>Meccanica Bassi S.r.l.</v>
      </c>
      <c r="F302" s="0" t="n">
        <v>39</v>
      </c>
      <c r="G302" s="0" t="n">
        <v>17</v>
      </c>
      <c r="H302" s="0" t="str">
        <f aca="false">IF(F302&lt;G302,"SI","NO")</f>
        <v>NO</v>
      </c>
    </row>
    <row r="303" customFormat="false" ht="15" hidden="false" customHeight="false" outlineLevel="0" collapsed="false">
      <c r="A303" s="0" t="s">
        <v>876</v>
      </c>
      <c r="B303" s="0" t="s">
        <v>877</v>
      </c>
      <c r="C303" s="0" t="s">
        <v>878</v>
      </c>
      <c r="D303" s="2" t="s">
        <v>15</v>
      </c>
      <c r="E303" s="0" t="str">
        <f aca="false">VLOOKUP(D303,Fornitori!$A$2:$C$6,2,FALSE())</f>
        <v>Rulmeca Italia</v>
      </c>
      <c r="F303" s="0" t="n">
        <v>42</v>
      </c>
      <c r="G303" s="0" t="n">
        <v>19</v>
      </c>
      <c r="H303" s="0" t="str">
        <f aca="false">IF(F303&lt;G303,"SI","NO")</f>
        <v>NO</v>
      </c>
    </row>
    <row r="304" customFormat="false" ht="15" hidden="false" customHeight="false" outlineLevel="0" collapsed="false">
      <c r="A304" s="0" t="s">
        <v>879</v>
      </c>
      <c r="B304" s="0" t="s">
        <v>880</v>
      </c>
      <c r="C304" s="0" t="s">
        <v>881</v>
      </c>
      <c r="D304" s="2" t="s">
        <v>19</v>
      </c>
      <c r="E304" s="0" t="str">
        <f aca="false">VLOOKUP(D304,Fornitori!$A$2:$C$6,2,FALSE())</f>
        <v>Elettrotecnica Ferri</v>
      </c>
      <c r="F304" s="0" t="n">
        <v>49</v>
      </c>
      <c r="G304" s="0" t="n">
        <v>8</v>
      </c>
      <c r="H304" s="0" t="str">
        <f aca="false">IF(F304&lt;G304,"SI","NO")</f>
        <v>NO</v>
      </c>
    </row>
    <row r="305" customFormat="false" ht="15" hidden="false" customHeight="false" outlineLevel="0" collapsed="false">
      <c r="A305" s="0" t="s">
        <v>882</v>
      </c>
      <c r="B305" s="0" t="s">
        <v>883</v>
      </c>
      <c r="C305" s="0" t="s">
        <v>884</v>
      </c>
      <c r="D305" s="2" t="s">
        <v>23</v>
      </c>
      <c r="E305" s="0" t="str">
        <f aca="false">VLOOKUP(D305,Fornitori!$A$2:$C$6,2,FALSE())</f>
        <v>Pneumax Service</v>
      </c>
      <c r="F305" s="0" t="n">
        <v>45</v>
      </c>
      <c r="G305" s="0" t="n">
        <v>13</v>
      </c>
      <c r="H305" s="0" t="str">
        <f aca="false">IF(F305&lt;G305,"SI","NO")</f>
        <v>NO</v>
      </c>
    </row>
    <row r="306" customFormat="false" ht="15" hidden="false" customHeight="false" outlineLevel="0" collapsed="false">
      <c r="A306" s="0" t="s">
        <v>885</v>
      </c>
      <c r="B306" s="0" t="s">
        <v>886</v>
      </c>
      <c r="C306" s="0" t="s">
        <v>887</v>
      </c>
      <c r="D306" s="2" t="s">
        <v>27</v>
      </c>
      <c r="E306" s="0" t="str">
        <f aca="false">VLOOKUP(D306,Fornitori!$A$2:$C$6,2,FALSE())</f>
        <v>Guarnizioni Alpi</v>
      </c>
      <c r="F306" s="0" t="n">
        <v>1</v>
      </c>
      <c r="G306" s="0" t="n">
        <v>18</v>
      </c>
      <c r="H306" s="0" t="str">
        <f aca="false">IF(F306&lt;G306,"SI","NO")</f>
        <v>SI</v>
      </c>
    </row>
    <row r="307" customFormat="false" ht="15" hidden="false" customHeight="false" outlineLevel="0" collapsed="false">
      <c r="A307" s="0" t="s">
        <v>888</v>
      </c>
      <c r="B307" s="0" t="s">
        <v>889</v>
      </c>
      <c r="C307" s="0" t="s">
        <v>890</v>
      </c>
      <c r="D307" s="2" t="s">
        <v>11</v>
      </c>
      <c r="E307" s="0" t="str">
        <f aca="false">VLOOKUP(D307,Fornitori!$A$2:$C$6,2,FALSE())</f>
        <v>Meccanica Bassi S.r.l.</v>
      </c>
      <c r="F307" s="0" t="n">
        <v>51</v>
      </c>
      <c r="G307" s="0" t="n">
        <v>18</v>
      </c>
      <c r="H307" s="0" t="str">
        <f aca="false">IF(F307&lt;G307,"SI","NO")</f>
        <v>NO</v>
      </c>
    </row>
    <row r="308" customFormat="false" ht="15" hidden="false" customHeight="false" outlineLevel="0" collapsed="false">
      <c r="A308" s="0" t="s">
        <v>891</v>
      </c>
      <c r="B308" s="0" t="s">
        <v>892</v>
      </c>
      <c r="C308" s="0" t="s">
        <v>893</v>
      </c>
      <c r="D308" s="2" t="s">
        <v>15</v>
      </c>
      <c r="E308" s="0" t="str">
        <f aca="false">VLOOKUP(D308,Fornitori!$A$2:$C$6,2,FALSE())</f>
        <v>Rulmeca Italia</v>
      </c>
      <c r="F308" s="0" t="n">
        <v>24</v>
      </c>
      <c r="G308" s="0" t="n">
        <v>24</v>
      </c>
      <c r="H308" s="0" t="str">
        <f aca="false">IF(F308&lt;G308,"SI","NO")</f>
        <v>NO</v>
      </c>
    </row>
    <row r="309" customFormat="false" ht="15" hidden="false" customHeight="false" outlineLevel="0" collapsed="false">
      <c r="A309" s="0" t="s">
        <v>894</v>
      </c>
      <c r="B309" s="0" t="s">
        <v>895</v>
      </c>
      <c r="C309" s="0" t="s">
        <v>896</v>
      </c>
      <c r="D309" s="2" t="s">
        <v>19</v>
      </c>
      <c r="E309" s="0" t="str">
        <f aca="false">VLOOKUP(D309,Fornitori!$A$2:$C$6,2,FALSE())</f>
        <v>Elettrotecnica Ferri</v>
      </c>
      <c r="F309" s="0" t="n">
        <v>5</v>
      </c>
      <c r="G309" s="0" t="n">
        <v>20</v>
      </c>
      <c r="H309" s="0" t="str">
        <f aca="false">IF(F309&lt;G309,"SI","NO")</f>
        <v>SI</v>
      </c>
    </row>
    <row r="310" customFormat="false" ht="15" hidden="false" customHeight="false" outlineLevel="0" collapsed="false">
      <c r="A310" s="0" t="s">
        <v>897</v>
      </c>
      <c r="B310" s="0" t="s">
        <v>898</v>
      </c>
      <c r="C310" s="0" t="s">
        <v>899</v>
      </c>
      <c r="D310" s="2" t="s">
        <v>23</v>
      </c>
      <c r="E310" s="0" t="str">
        <f aca="false">VLOOKUP(D310,Fornitori!$A$2:$C$6,2,FALSE())</f>
        <v>Pneumax Service</v>
      </c>
      <c r="F310" s="0" t="n">
        <v>0</v>
      </c>
      <c r="G310" s="0" t="n">
        <v>8</v>
      </c>
      <c r="H310" s="0" t="str">
        <f aca="false">IF(F310&lt;G310,"SI","NO")</f>
        <v>SI</v>
      </c>
    </row>
    <row r="311" customFormat="false" ht="15" hidden="false" customHeight="false" outlineLevel="0" collapsed="false">
      <c r="A311" s="0" t="s">
        <v>900</v>
      </c>
      <c r="B311" s="0" t="s">
        <v>901</v>
      </c>
      <c r="C311" s="0" t="s">
        <v>421</v>
      </c>
      <c r="D311" s="2" t="s">
        <v>27</v>
      </c>
      <c r="E311" s="0" t="str">
        <f aca="false">VLOOKUP(D311,Fornitori!$A$2:$C$6,2,FALSE())</f>
        <v>Guarnizioni Alpi</v>
      </c>
      <c r="F311" s="0" t="n">
        <v>1</v>
      </c>
      <c r="G311" s="0" t="n">
        <v>13</v>
      </c>
      <c r="H311" s="0" t="str">
        <f aca="false">IF(F311&lt;G311,"SI","NO")</f>
        <v>SI</v>
      </c>
    </row>
    <row r="312" customFormat="false" ht="15" hidden="false" customHeight="false" outlineLevel="0" collapsed="false">
      <c r="A312" s="0" t="s">
        <v>902</v>
      </c>
      <c r="B312" s="0" t="s">
        <v>903</v>
      </c>
      <c r="C312" s="0" t="s">
        <v>904</v>
      </c>
      <c r="D312" s="2" t="s">
        <v>11</v>
      </c>
      <c r="E312" s="0" t="str">
        <f aca="false">VLOOKUP(D312,Fornitori!$A$2:$C$6,2,FALSE())</f>
        <v>Meccanica Bassi S.r.l.</v>
      </c>
      <c r="F312" s="0" t="n">
        <v>49</v>
      </c>
      <c r="G312" s="0" t="n">
        <v>9</v>
      </c>
      <c r="H312" s="0" t="str">
        <f aca="false">IF(F312&lt;G312,"SI","NO")</f>
        <v>NO</v>
      </c>
    </row>
    <row r="313" customFormat="false" ht="15" hidden="false" customHeight="false" outlineLevel="0" collapsed="false">
      <c r="A313" s="0" t="s">
        <v>905</v>
      </c>
      <c r="B313" s="0" t="s">
        <v>906</v>
      </c>
      <c r="C313" s="0" t="s">
        <v>907</v>
      </c>
      <c r="D313" s="2" t="s">
        <v>15</v>
      </c>
      <c r="E313" s="0" t="str">
        <f aca="false">VLOOKUP(D313,Fornitori!$A$2:$C$6,2,FALSE())</f>
        <v>Rulmeca Italia</v>
      </c>
      <c r="F313" s="0" t="n">
        <v>59</v>
      </c>
      <c r="G313" s="0" t="n">
        <v>13</v>
      </c>
      <c r="H313" s="0" t="str">
        <f aca="false">IF(F313&lt;G313,"SI","NO")</f>
        <v>NO</v>
      </c>
    </row>
    <row r="314" customFormat="false" ht="15" hidden="false" customHeight="false" outlineLevel="0" collapsed="false">
      <c r="A314" s="0" t="s">
        <v>908</v>
      </c>
      <c r="B314" s="0" t="s">
        <v>909</v>
      </c>
      <c r="C314" s="0" t="s">
        <v>910</v>
      </c>
      <c r="D314" s="2" t="s">
        <v>19</v>
      </c>
      <c r="E314" s="0" t="str">
        <f aca="false">VLOOKUP(D314,Fornitori!$A$2:$C$6,2,FALSE())</f>
        <v>Elettrotecnica Ferri</v>
      </c>
      <c r="F314" s="0" t="n">
        <v>56</v>
      </c>
      <c r="G314" s="0" t="n">
        <v>24</v>
      </c>
      <c r="H314" s="0" t="str">
        <f aca="false">IF(F314&lt;G314,"SI","NO")</f>
        <v>NO</v>
      </c>
    </row>
    <row r="315" customFormat="false" ht="15" hidden="false" customHeight="false" outlineLevel="0" collapsed="false">
      <c r="A315" s="0" t="s">
        <v>911</v>
      </c>
      <c r="B315" s="0" t="s">
        <v>912</v>
      </c>
      <c r="C315" s="0" t="s">
        <v>913</v>
      </c>
      <c r="D315" s="2" t="s">
        <v>23</v>
      </c>
      <c r="E315" s="0" t="str">
        <f aca="false">VLOOKUP(D315,Fornitori!$A$2:$C$6,2,FALSE())</f>
        <v>Pneumax Service</v>
      </c>
      <c r="F315" s="0" t="n">
        <v>38</v>
      </c>
      <c r="G315" s="0" t="n">
        <v>10</v>
      </c>
      <c r="H315" s="0" t="str">
        <f aca="false">IF(F315&lt;G315,"SI","NO")</f>
        <v>NO</v>
      </c>
    </row>
    <row r="316" customFormat="false" ht="15" hidden="false" customHeight="false" outlineLevel="0" collapsed="false">
      <c r="A316" s="0" t="s">
        <v>914</v>
      </c>
      <c r="B316" s="0" t="s">
        <v>915</v>
      </c>
      <c r="C316" s="0" t="s">
        <v>916</v>
      </c>
      <c r="D316" s="2" t="s">
        <v>27</v>
      </c>
      <c r="E316" s="0" t="str">
        <f aca="false">VLOOKUP(D316,Fornitori!$A$2:$C$6,2,FALSE())</f>
        <v>Guarnizioni Alpi</v>
      </c>
      <c r="F316" s="0" t="n">
        <v>36</v>
      </c>
      <c r="G316" s="0" t="n">
        <v>19</v>
      </c>
      <c r="H316" s="0" t="str">
        <f aca="false">IF(F316&lt;G316,"SI","NO")</f>
        <v>NO</v>
      </c>
    </row>
    <row r="317" customFormat="false" ht="15" hidden="false" customHeight="false" outlineLevel="0" collapsed="false">
      <c r="A317" s="0" t="s">
        <v>917</v>
      </c>
      <c r="B317" s="0" t="s">
        <v>918</v>
      </c>
      <c r="C317" s="0" t="s">
        <v>919</v>
      </c>
      <c r="D317" s="2" t="s">
        <v>11</v>
      </c>
      <c r="E317" s="0" t="str">
        <f aca="false">VLOOKUP(D317,Fornitori!$A$2:$C$6,2,FALSE())</f>
        <v>Meccanica Bassi S.r.l.</v>
      </c>
      <c r="F317" s="0" t="n">
        <v>7</v>
      </c>
      <c r="G317" s="0" t="n">
        <v>16</v>
      </c>
      <c r="H317" s="0" t="str">
        <f aca="false">IF(F317&lt;G317,"SI","NO")</f>
        <v>SI</v>
      </c>
    </row>
    <row r="318" customFormat="false" ht="15" hidden="false" customHeight="false" outlineLevel="0" collapsed="false">
      <c r="A318" s="0" t="s">
        <v>920</v>
      </c>
      <c r="B318" s="0" t="s">
        <v>921</v>
      </c>
      <c r="C318" s="0" t="s">
        <v>87</v>
      </c>
      <c r="D318" s="2" t="s">
        <v>15</v>
      </c>
      <c r="E318" s="0" t="str">
        <f aca="false">VLOOKUP(D318,Fornitori!$A$2:$C$6,2,FALSE())</f>
        <v>Rulmeca Italia</v>
      </c>
      <c r="F318" s="0" t="n">
        <v>49</v>
      </c>
      <c r="G318" s="0" t="n">
        <v>19</v>
      </c>
      <c r="H318" s="0" t="str">
        <f aca="false">IF(F318&lt;G318,"SI","NO")</f>
        <v>NO</v>
      </c>
    </row>
    <row r="319" customFormat="false" ht="15" hidden="false" customHeight="false" outlineLevel="0" collapsed="false">
      <c r="A319" s="0" t="s">
        <v>922</v>
      </c>
      <c r="B319" s="0" t="s">
        <v>923</v>
      </c>
      <c r="C319" s="0" t="s">
        <v>924</v>
      </c>
      <c r="D319" s="2" t="s">
        <v>19</v>
      </c>
      <c r="E319" s="0" t="str">
        <f aca="false">VLOOKUP(D319,Fornitori!$A$2:$C$6,2,FALSE())</f>
        <v>Elettrotecnica Ferri</v>
      </c>
      <c r="F319" s="0" t="n">
        <v>3</v>
      </c>
      <c r="G319" s="0" t="n">
        <v>24</v>
      </c>
      <c r="H319" s="0" t="str">
        <f aca="false">IF(F319&lt;G319,"SI","NO")</f>
        <v>SI</v>
      </c>
    </row>
    <row r="320" customFormat="false" ht="15" hidden="false" customHeight="false" outlineLevel="0" collapsed="false">
      <c r="A320" s="0" t="s">
        <v>925</v>
      </c>
      <c r="B320" s="0" t="s">
        <v>926</v>
      </c>
      <c r="C320" s="0" t="s">
        <v>927</v>
      </c>
      <c r="D320" s="2" t="s">
        <v>23</v>
      </c>
      <c r="E320" s="0" t="str">
        <f aca="false">VLOOKUP(D320,Fornitori!$A$2:$C$6,2,FALSE())</f>
        <v>Pneumax Service</v>
      </c>
      <c r="F320" s="0" t="n">
        <v>53</v>
      </c>
      <c r="G320" s="0" t="n">
        <v>14</v>
      </c>
      <c r="H320" s="0" t="str">
        <f aca="false">IF(F320&lt;G320,"SI","NO")</f>
        <v>NO</v>
      </c>
    </row>
    <row r="321" customFormat="false" ht="15" hidden="false" customHeight="false" outlineLevel="0" collapsed="false">
      <c r="A321" s="0" t="s">
        <v>928</v>
      </c>
      <c r="B321" s="0" t="s">
        <v>929</v>
      </c>
      <c r="C321" s="0" t="s">
        <v>930</v>
      </c>
      <c r="D321" s="2" t="s">
        <v>27</v>
      </c>
      <c r="E321" s="0" t="str">
        <f aca="false">VLOOKUP(D321,Fornitori!$A$2:$C$6,2,FALSE())</f>
        <v>Guarnizioni Alpi</v>
      </c>
      <c r="F321" s="0" t="n">
        <v>24</v>
      </c>
      <c r="G321" s="0" t="n">
        <v>24</v>
      </c>
      <c r="H321" s="0" t="str">
        <f aca="false">IF(F321&lt;G321,"SI","NO")</f>
        <v>NO</v>
      </c>
    </row>
    <row r="322" customFormat="false" ht="15" hidden="false" customHeight="false" outlineLevel="0" collapsed="false">
      <c r="A322" s="0" t="s">
        <v>931</v>
      </c>
      <c r="B322" s="0" t="s">
        <v>903</v>
      </c>
      <c r="C322" s="0" t="s">
        <v>514</v>
      </c>
      <c r="D322" s="2" t="s">
        <v>11</v>
      </c>
      <c r="E322" s="0" t="str">
        <f aca="false">VLOOKUP(D322,Fornitori!$A$2:$C$6,2,FALSE())</f>
        <v>Meccanica Bassi S.r.l.</v>
      </c>
      <c r="F322" s="0" t="n">
        <v>20</v>
      </c>
      <c r="G322" s="0" t="n">
        <v>13</v>
      </c>
      <c r="H322" s="0" t="str">
        <f aca="false">IF(F322&lt;G322,"SI","NO")</f>
        <v>NO</v>
      </c>
    </row>
    <row r="323" customFormat="false" ht="15" hidden="false" customHeight="false" outlineLevel="0" collapsed="false">
      <c r="A323" s="0" t="s">
        <v>932</v>
      </c>
      <c r="B323" s="0" t="s">
        <v>933</v>
      </c>
      <c r="C323" s="0" t="s">
        <v>934</v>
      </c>
      <c r="D323" s="2" t="s">
        <v>15</v>
      </c>
      <c r="E323" s="0" t="str">
        <f aca="false">VLOOKUP(D323,Fornitori!$A$2:$C$6,2,FALSE())</f>
        <v>Rulmeca Italia</v>
      </c>
      <c r="F323" s="0" t="n">
        <v>48</v>
      </c>
      <c r="G323" s="0" t="n">
        <v>6</v>
      </c>
      <c r="H323" s="0" t="str">
        <f aca="false">IF(F323&lt;G323,"SI","NO")</f>
        <v>NO</v>
      </c>
    </row>
    <row r="324" customFormat="false" ht="15" hidden="false" customHeight="false" outlineLevel="0" collapsed="false">
      <c r="A324" s="0" t="s">
        <v>935</v>
      </c>
      <c r="B324" s="0" t="s">
        <v>936</v>
      </c>
      <c r="C324" s="0" t="s">
        <v>937</v>
      </c>
      <c r="D324" s="2" t="s">
        <v>19</v>
      </c>
      <c r="E324" s="0" t="str">
        <f aca="false">VLOOKUP(D324,Fornitori!$A$2:$C$6,2,FALSE())</f>
        <v>Elettrotecnica Ferri</v>
      </c>
      <c r="F324" s="0" t="n">
        <v>51</v>
      </c>
      <c r="G324" s="0" t="n">
        <v>22</v>
      </c>
      <c r="H324" s="0" t="str">
        <f aca="false">IF(F324&lt;G324,"SI","NO")</f>
        <v>NO</v>
      </c>
    </row>
    <row r="325" customFormat="false" ht="15" hidden="false" customHeight="false" outlineLevel="0" collapsed="false">
      <c r="A325" s="0" t="s">
        <v>938</v>
      </c>
      <c r="B325" s="0" t="s">
        <v>939</v>
      </c>
      <c r="C325" s="0" t="s">
        <v>940</v>
      </c>
      <c r="D325" s="2" t="s">
        <v>23</v>
      </c>
      <c r="E325" s="0" t="str">
        <f aca="false">VLOOKUP(D325,Fornitori!$A$2:$C$6,2,FALSE())</f>
        <v>Pneumax Service</v>
      </c>
      <c r="F325" s="0" t="n">
        <v>31</v>
      </c>
      <c r="G325" s="0" t="n">
        <v>17</v>
      </c>
      <c r="H325" s="0" t="str">
        <f aca="false">IF(F325&lt;G325,"SI","NO")</f>
        <v>NO</v>
      </c>
    </row>
    <row r="326" customFormat="false" ht="15" hidden="false" customHeight="false" outlineLevel="0" collapsed="false">
      <c r="A326" s="0" t="s">
        <v>941</v>
      </c>
      <c r="B326" s="0" t="s">
        <v>942</v>
      </c>
      <c r="C326" s="0" t="s">
        <v>943</v>
      </c>
      <c r="D326" s="2" t="s">
        <v>27</v>
      </c>
      <c r="E326" s="0" t="str">
        <f aca="false">VLOOKUP(D326,Fornitori!$A$2:$C$6,2,FALSE())</f>
        <v>Guarnizioni Alpi</v>
      </c>
      <c r="F326" s="0" t="n">
        <v>43</v>
      </c>
      <c r="G326" s="0" t="n">
        <v>17</v>
      </c>
      <c r="H326" s="0" t="str">
        <f aca="false">IF(F326&lt;G326,"SI","NO")</f>
        <v>NO</v>
      </c>
    </row>
    <row r="327" customFormat="false" ht="15" hidden="false" customHeight="false" outlineLevel="0" collapsed="false">
      <c r="A327" s="0" t="s">
        <v>944</v>
      </c>
      <c r="B327" s="0" t="s">
        <v>945</v>
      </c>
      <c r="C327" s="0" t="s">
        <v>946</v>
      </c>
      <c r="D327" s="2" t="s">
        <v>11</v>
      </c>
      <c r="E327" s="0" t="str">
        <f aca="false">VLOOKUP(D327,Fornitori!$A$2:$C$6,2,FALSE())</f>
        <v>Meccanica Bassi S.r.l.</v>
      </c>
      <c r="F327" s="0" t="n">
        <v>0</v>
      </c>
      <c r="G327" s="0" t="n">
        <v>17</v>
      </c>
      <c r="H327" s="0" t="str">
        <f aca="false">IF(F327&lt;G327,"SI","NO")</f>
        <v>SI</v>
      </c>
    </row>
    <row r="328" customFormat="false" ht="15" hidden="false" customHeight="false" outlineLevel="0" collapsed="false">
      <c r="A328" s="0" t="s">
        <v>947</v>
      </c>
      <c r="B328" s="0" t="s">
        <v>241</v>
      </c>
      <c r="C328" s="0" t="s">
        <v>948</v>
      </c>
      <c r="D328" s="2" t="s">
        <v>15</v>
      </c>
      <c r="E328" s="0" t="str">
        <f aca="false">VLOOKUP(D328,Fornitori!$A$2:$C$6,2,FALSE())</f>
        <v>Rulmeca Italia</v>
      </c>
      <c r="F328" s="0" t="n">
        <v>22</v>
      </c>
      <c r="G328" s="0" t="n">
        <v>7</v>
      </c>
      <c r="H328" s="0" t="str">
        <f aca="false">IF(F328&lt;G328,"SI","NO")</f>
        <v>NO</v>
      </c>
    </row>
    <row r="329" customFormat="false" ht="15" hidden="false" customHeight="false" outlineLevel="0" collapsed="false">
      <c r="A329" s="0" t="s">
        <v>949</v>
      </c>
      <c r="B329" s="0" t="s">
        <v>950</v>
      </c>
      <c r="C329" s="0" t="s">
        <v>951</v>
      </c>
      <c r="D329" s="2" t="s">
        <v>19</v>
      </c>
      <c r="E329" s="0" t="str">
        <f aca="false">VLOOKUP(D329,Fornitori!$A$2:$C$6,2,FALSE())</f>
        <v>Elettrotecnica Ferri</v>
      </c>
      <c r="F329" s="0" t="n">
        <v>30</v>
      </c>
      <c r="G329" s="0" t="n">
        <v>21</v>
      </c>
      <c r="H329" s="0" t="str">
        <f aca="false">IF(F329&lt;G329,"SI","NO")</f>
        <v>NO</v>
      </c>
    </row>
    <row r="330" customFormat="false" ht="15" hidden="false" customHeight="false" outlineLevel="0" collapsed="false">
      <c r="A330" s="0" t="s">
        <v>952</v>
      </c>
      <c r="B330" s="0" t="s">
        <v>953</v>
      </c>
      <c r="C330" s="0" t="s">
        <v>954</v>
      </c>
      <c r="D330" s="2" t="s">
        <v>23</v>
      </c>
      <c r="E330" s="0" t="str">
        <f aca="false">VLOOKUP(D330,Fornitori!$A$2:$C$6,2,FALSE())</f>
        <v>Pneumax Service</v>
      </c>
      <c r="F330" s="0" t="n">
        <v>11</v>
      </c>
      <c r="G330" s="0" t="n">
        <v>14</v>
      </c>
      <c r="H330" s="0" t="str">
        <f aca="false">IF(F330&lt;G330,"SI","NO")</f>
        <v>SI</v>
      </c>
    </row>
    <row r="331" customFormat="false" ht="15" hidden="false" customHeight="false" outlineLevel="0" collapsed="false">
      <c r="A331" s="0" t="s">
        <v>955</v>
      </c>
      <c r="B331" s="0" t="s">
        <v>956</v>
      </c>
      <c r="C331" s="0" t="s">
        <v>957</v>
      </c>
      <c r="D331" s="2" t="s">
        <v>27</v>
      </c>
      <c r="E331" s="0" t="str">
        <f aca="false">VLOOKUP(D331,Fornitori!$A$2:$C$6,2,FALSE())</f>
        <v>Guarnizioni Alpi</v>
      </c>
      <c r="F331" s="0" t="n">
        <v>33</v>
      </c>
      <c r="G331" s="0" t="n">
        <v>9</v>
      </c>
      <c r="H331" s="0" t="str">
        <f aca="false">IF(F331&lt;G331,"SI","NO")</f>
        <v>NO</v>
      </c>
    </row>
    <row r="332" customFormat="false" ht="15" hidden="false" customHeight="false" outlineLevel="0" collapsed="false">
      <c r="A332" s="0" t="s">
        <v>958</v>
      </c>
      <c r="B332" s="0" t="s">
        <v>959</v>
      </c>
      <c r="C332" s="0" t="s">
        <v>960</v>
      </c>
      <c r="D332" s="2" t="s">
        <v>11</v>
      </c>
      <c r="E332" s="0" t="str">
        <f aca="false">VLOOKUP(D332,Fornitori!$A$2:$C$6,2,FALSE())</f>
        <v>Meccanica Bassi S.r.l.</v>
      </c>
      <c r="F332" s="0" t="n">
        <v>6</v>
      </c>
      <c r="G332" s="0" t="n">
        <v>16</v>
      </c>
      <c r="H332" s="0" t="str">
        <f aca="false">IF(F332&lt;G332,"SI","NO")</f>
        <v>SI</v>
      </c>
    </row>
    <row r="333" customFormat="false" ht="15" hidden="false" customHeight="false" outlineLevel="0" collapsed="false">
      <c r="A333" s="0" t="s">
        <v>961</v>
      </c>
      <c r="B333" s="0" t="s">
        <v>962</v>
      </c>
      <c r="C333" s="0" t="s">
        <v>963</v>
      </c>
      <c r="D333" s="2" t="s">
        <v>15</v>
      </c>
      <c r="E333" s="0" t="str">
        <f aca="false">VLOOKUP(D333,Fornitori!$A$2:$C$6,2,FALSE())</f>
        <v>Rulmeca Italia</v>
      </c>
      <c r="F333" s="0" t="n">
        <v>1</v>
      </c>
      <c r="G333" s="0" t="n">
        <v>16</v>
      </c>
      <c r="H333" s="0" t="str">
        <f aca="false">IF(F333&lt;G333,"SI","NO")</f>
        <v>SI</v>
      </c>
    </row>
    <row r="334" customFormat="false" ht="15" hidden="false" customHeight="false" outlineLevel="0" collapsed="false">
      <c r="A334" s="0" t="s">
        <v>964</v>
      </c>
      <c r="B334" s="0" t="s">
        <v>965</v>
      </c>
      <c r="C334" s="0" t="s">
        <v>966</v>
      </c>
      <c r="D334" s="2" t="s">
        <v>19</v>
      </c>
      <c r="E334" s="0" t="str">
        <f aca="false">VLOOKUP(D334,Fornitori!$A$2:$C$6,2,FALSE())</f>
        <v>Elettrotecnica Ferri</v>
      </c>
      <c r="F334" s="0" t="n">
        <v>13</v>
      </c>
      <c r="G334" s="0" t="n">
        <v>23</v>
      </c>
      <c r="H334" s="0" t="str">
        <f aca="false">IF(F334&lt;G334,"SI","NO")</f>
        <v>SI</v>
      </c>
    </row>
    <row r="335" customFormat="false" ht="15" hidden="false" customHeight="false" outlineLevel="0" collapsed="false">
      <c r="A335" s="0" t="s">
        <v>967</v>
      </c>
      <c r="B335" s="0" t="s">
        <v>968</v>
      </c>
      <c r="C335" s="0" t="s">
        <v>969</v>
      </c>
      <c r="D335" s="2" t="s">
        <v>23</v>
      </c>
      <c r="E335" s="0" t="str">
        <f aca="false">VLOOKUP(D335,Fornitori!$A$2:$C$6,2,FALSE())</f>
        <v>Pneumax Service</v>
      </c>
      <c r="F335" s="0" t="n">
        <v>17</v>
      </c>
      <c r="G335" s="0" t="n">
        <v>18</v>
      </c>
      <c r="H335" s="0" t="str">
        <f aca="false">IF(F335&lt;G335,"SI","NO")</f>
        <v>SI</v>
      </c>
    </row>
    <row r="336" customFormat="false" ht="15" hidden="false" customHeight="false" outlineLevel="0" collapsed="false">
      <c r="A336" s="0" t="s">
        <v>970</v>
      </c>
      <c r="B336" s="0" t="s">
        <v>971</v>
      </c>
      <c r="C336" s="0" t="s">
        <v>972</v>
      </c>
      <c r="D336" s="2" t="s">
        <v>27</v>
      </c>
      <c r="E336" s="0" t="str">
        <f aca="false">VLOOKUP(D336,Fornitori!$A$2:$C$6,2,FALSE())</f>
        <v>Guarnizioni Alpi</v>
      </c>
      <c r="F336" s="0" t="n">
        <v>2</v>
      </c>
      <c r="G336" s="0" t="n">
        <v>15</v>
      </c>
      <c r="H336" s="0" t="str">
        <f aca="false">IF(F336&lt;G336,"SI","NO")</f>
        <v>SI</v>
      </c>
    </row>
    <row r="337" customFormat="false" ht="15" hidden="false" customHeight="false" outlineLevel="0" collapsed="false">
      <c r="A337" s="0" t="s">
        <v>973</v>
      </c>
      <c r="B337" s="0" t="s">
        <v>974</v>
      </c>
      <c r="C337" s="0" t="s">
        <v>975</v>
      </c>
      <c r="D337" s="2" t="s">
        <v>11</v>
      </c>
      <c r="E337" s="0" t="str">
        <f aca="false">VLOOKUP(D337,Fornitori!$A$2:$C$6,2,FALSE())</f>
        <v>Meccanica Bassi S.r.l.</v>
      </c>
      <c r="F337" s="0" t="n">
        <v>3</v>
      </c>
      <c r="G337" s="0" t="n">
        <v>6</v>
      </c>
      <c r="H337" s="0" t="str">
        <f aca="false">IF(F337&lt;G337,"SI","NO")</f>
        <v>SI</v>
      </c>
    </row>
    <row r="338" customFormat="false" ht="15" hidden="false" customHeight="false" outlineLevel="0" collapsed="false">
      <c r="A338" s="0" t="s">
        <v>976</v>
      </c>
      <c r="B338" s="0" t="s">
        <v>977</v>
      </c>
      <c r="C338" s="0" t="s">
        <v>978</v>
      </c>
      <c r="D338" s="2" t="s">
        <v>15</v>
      </c>
      <c r="E338" s="0" t="str">
        <f aca="false">VLOOKUP(D338,Fornitori!$A$2:$C$6,2,FALSE())</f>
        <v>Rulmeca Italia</v>
      </c>
      <c r="F338" s="0" t="n">
        <v>38</v>
      </c>
      <c r="G338" s="0" t="n">
        <v>17</v>
      </c>
      <c r="H338" s="0" t="str">
        <f aca="false">IF(F338&lt;G338,"SI","NO")</f>
        <v>NO</v>
      </c>
    </row>
    <row r="339" customFormat="false" ht="15" hidden="false" customHeight="false" outlineLevel="0" collapsed="false">
      <c r="A339" s="0" t="s">
        <v>979</v>
      </c>
      <c r="B339" s="0" t="s">
        <v>980</v>
      </c>
      <c r="C339" s="0" t="s">
        <v>493</v>
      </c>
      <c r="D339" s="2" t="s">
        <v>19</v>
      </c>
      <c r="E339" s="0" t="str">
        <f aca="false">VLOOKUP(D339,Fornitori!$A$2:$C$6,2,FALSE())</f>
        <v>Elettrotecnica Ferri</v>
      </c>
      <c r="F339" s="0" t="n">
        <v>14</v>
      </c>
      <c r="G339" s="0" t="n">
        <v>7</v>
      </c>
      <c r="H339" s="0" t="str">
        <f aca="false">IF(F339&lt;G339,"SI","NO")</f>
        <v>NO</v>
      </c>
    </row>
    <row r="340" customFormat="false" ht="15" hidden="false" customHeight="false" outlineLevel="0" collapsed="false">
      <c r="A340" s="0" t="s">
        <v>981</v>
      </c>
      <c r="B340" s="0" t="s">
        <v>982</v>
      </c>
      <c r="C340" s="0" t="s">
        <v>983</v>
      </c>
      <c r="D340" s="2" t="s">
        <v>23</v>
      </c>
      <c r="E340" s="0" t="str">
        <f aca="false">VLOOKUP(D340,Fornitori!$A$2:$C$6,2,FALSE())</f>
        <v>Pneumax Service</v>
      </c>
      <c r="F340" s="0" t="n">
        <v>15</v>
      </c>
      <c r="G340" s="0" t="n">
        <v>12</v>
      </c>
      <c r="H340" s="0" t="str">
        <f aca="false">IF(F340&lt;G340,"SI","NO")</f>
        <v>NO</v>
      </c>
    </row>
    <row r="341" customFormat="false" ht="15" hidden="false" customHeight="false" outlineLevel="0" collapsed="false">
      <c r="A341" s="0" t="s">
        <v>984</v>
      </c>
      <c r="B341" s="0" t="s">
        <v>985</v>
      </c>
      <c r="C341" s="0" t="s">
        <v>209</v>
      </c>
      <c r="D341" s="2" t="s">
        <v>27</v>
      </c>
      <c r="E341" s="0" t="str">
        <f aca="false">VLOOKUP(D341,Fornitori!$A$2:$C$6,2,FALSE())</f>
        <v>Guarnizioni Alpi</v>
      </c>
      <c r="F341" s="0" t="n">
        <v>57</v>
      </c>
      <c r="G341" s="0" t="n">
        <v>22</v>
      </c>
      <c r="H341" s="0" t="str">
        <f aca="false">IF(F341&lt;G341,"SI","NO")</f>
        <v>NO</v>
      </c>
    </row>
    <row r="342" customFormat="false" ht="15" hidden="false" customHeight="false" outlineLevel="0" collapsed="false">
      <c r="A342" s="0" t="s">
        <v>986</v>
      </c>
      <c r="B342" s="0" t="s">
        <v>339</v>
      </c>
      <c r="C342" s="0" t="s">
        <v>987</v>
      </c>
      <c r="D342" s="2" t="s">
        <v>11</v>
      </c>
      <c r="E342" s="0" t="str">
        <f aca="false">VLOOKUP(D342,Fornitori!$A$2:$C$6,2,FALSE())</f>
        <v>Meccanica Bassi S.r.l.</v>
      </c>
      <c r="F342" s="0" t="n">
        <v>47</v>
      </c>
      <c r="G342" s="0" t="n">
        <v>20</v>
      </c>
      <c r="H342" s="0" t="str">
        <f aca="false">IF(F342&lt;G342,"SI","NO")</f>
        <v>NO</v>
      </c>
    </row>
    <row r="343" customFormat="false" ht="15" hidden="false" customHeight="false" outlineLevel="0" collapsed="false">
      <c r="A343" s="0" t="s">
        <v>988</v>
      </c>
      <c r="B343" s="0" t="s">
        <v>989</v>
      </c>
      <c r="C343" s="0" t="s">
        <v>990</v>
      </c>
      <c r="D343" s="2" t="s">
        <v>15</v>
      </c>
      <c r="E343" s="0" t="str">
        <f aca="false">VLOOKUP(D343,Fornitori!$A$2:$C$6,2,FALSE())</f>
        <v>Rulmeca Italia</v>
      </c>
      <c r="F343" s="0" t="n">
        <v>0</v>
      </c>
      <c r="G343" s="0" t="n">
        <v>11</v>
      </c>
      <c r="H343" s="0" t="str">
        <f aca="false">IF(F343&lt;G343,"SI","NO")</f>
        <v>SI</v>
      </c>
    </row>
    <row r="344" customFormat="false" ht="15" hidden="false" customHeight="false" outlineLevel="0" collapsed="false">
      <c r="A344" s="0" t="s">
        <v>991</v>
      </c>
      <c r="B344" s="0" t="s">
        <v>992</v>
      </c>
      <c r="C344" s="0" t="s">
        <v>993</v>
      </c>
      <c r="D344" s="2" t="s">
        <v>19</v>
      </c>
      <c r="E344" s="0" t="str">
        <f aca="false">VLOOKUP(D344,Fornitori!$A$2:$C$6,2,FALSE())</f>
        <v>Elettrotecnica Ferri</v>
      </c>
      <c r="F344" s="0" t="n">
        <v>30</v>
      </c>
      <c r="G344" s="0" t="n">
        <v>15</v>
      </c>
      <c r="H344" s="0" t="str">
        <f aca="false">IF(F344&lt;G344,"SI","NO")</f>
        <v>NO</v>
      </c>
    </row>
    <row r="345" customFormat="false" ht="15" hidden="false" customHeight="false" outlineLevel="0" collapsed="false">
      <c r="A345" s="0" t="s">
        <v>994</v>
      </c>
      <c r="B345" s="0" t="s">
        <v>995</v>
      </c>
      <c r="C345" s="0" t="s">
        <v>996</v>
      </c>
      <c r="D345" s="2" t="s">
        <v>23</v>
      </c>
      <c r="E345" s="0" t="str">
        <f aca="false">VLOOKUP(D345,Fornitori!$A$2:$C$6,2,FALSE())</f>
        <v>Pneumax Service</v>
      </c>
      <c r="F345" s="0" t="n">
        <v>30</v>
      </c>
      <c r="G345" s="0" t="n">
        <v>17</v>
      </c>
      <c r="H345" s="0" t="str">
        <f aca="false">IF(F345&lt;G345,"SI","NO")</f>
        <v>NO</v>
      </c>
    </row>
    <row r="346" customFormat="false" ht="15" hidden="false" customHeight="false" outlineLevel="0" collapsed="false">
      <c r="A346" s="0" t="s">
        <v>997</v>
      </c>
      <c r="B346" s="0" t="s">
        <v>998</v>
      </c>
      <c r="C346" s="0" t="s">
        <v>999</v>
      </c>
      <c r="D346" s="2" t="s">
        <v>27</v>
      </c>
      <c r="E346" s="0" t="str">
        <f aca="false">VLOOKUP(D346,Fornitori!$A$2:$C$6,2,FALSE())</f>
        <v>Guarnizioni Alpi</v>
      </c>
      <c r="F346" s="0" t="n">
        <v>57</v>
      </c>
      <c r="G346" s="0" t="n">
        <v>5</v>
      </c>
      <c r="H346" s="0" t="str">
        <f aca="false">IF(F346&lt;G346,"SI","NO")</f>
        <v>NO</v>
      </c>
    </row>
    <row r="347" customFormat="false" ht="15" hidden="false" customHeight="false" outlineLevel="0" collapsed="false">
      <c r="A347" s="0" t="s">
        <v>1000</v>
      </c>
      <c r="B347" s="0" t="s">
        <v>1001</v>
      </c>
      <c r="C347" s="0" t="s">
        <v>1002</v>
      </c>
      <c r="D347" s="2" t="s">
        <v>11</v>
      </c>
      <c r="E347" s="0" t="str">
        <f aca="false">VLOOKUP(D347,Fornitori!$A$2:$C$6,2,FALSE())</f>
        <v>Meccanica Bassi S.r.l.</v>
      </c>
      <c r="F347" s="0" t="n">
        <v>14</v>
      </c>
      <c r="G347" s="0" t="n">
        <v>7</v>
      </c>
      <c r="H347" s="0" t="str">
        <f aca="false">IF(F347&lt;G347,"SI","NO")</f>
        <v>NO</v>
      </c>
    </row>
    <row r="348" customFormat="false" ht="15" hidden="false" customHeight="false" outlineLevel="0" collapsed="false">
      <c r="A348" s="0" t="s">
        <v>1003</v>
      </c>
      <c r="B348" s="0" t="s">
        <v>1004</v>
      </c>
      <c r="C348" s="0" t="s">
        <v>1005</v>
      </c>
      <c r="D348" s="2" t="s">
        <v>15</v>
      </c>
      <c r="E348" s="0" t="str">
        <f aca="false">VLOOKUP(D348,Fornitori!$A$2:$C$6,2,FALSE())</f>
        <v>Rulmeca Italia</v>
      </c>
      <c r="F348" s="0" t="n">
        <v>53</v>
      </c>
      <c r="G348" s="0" t="n">
        <v>5</v>
      </c>
      <c r="H348" s="0" t="str">
        <f aca="false">IF(F348&lt;G348,"SI","NO")</f>
        <v>NO</v>
      </c>
    </row>
    <row r="349" customFormat="false" ht="15" hidden="false" customHeight="false" outlineLevel="0" collapsed="false">
      <c r="A349" s="0" t="s">
        <v>1006</v>
      </c>
      <c r="B349" s="0" t="s">
        <v>1007</v>
      </c>
      <c r="C349" s="0" t="s">
        <v>1008</v>
      </c>
      <c r="D349" s="2" t="s">
        <v>19</v>
      </c>
      <c r="E349" s="0" t="str">
        <f aca="false">VLOOKUP(D349,Fornitori!$A$2:$C$6,2,FALSE())</f>
        <v>Elettrotecnica Ferri</v>
      </c>
      <c r="F349" s="0" t="n">
        <v>14</v>
      </c>
      <c r="G349" s="0" t="n">
        <v>20</v>
      </c>
      <c r="H349" s="0" t="str">
        <f aca="false">IF(F349&lt;G349,"SI","NO")</f>
        <v>SI</v>
      </c>
    </row>
    <row r="350" customFormat="false" ht="15" hidden="false" customHeight="false" outlineLevel="0" collapsed="false">
      <c r="A350" s="0" t="s">
        <v>1009</v>
      </c>
      <c r="B350" s="0" t="s">
        <v>1010</v>
      </c>
      <c r="C350" s="0" t="s">
        <v>1011</v>
      </c>
      <c r="D350" s="2" t="s">
        <v>23</v>
      </c>
      <c r="E350" s="0" t="str">
        <f aca="false">VLOOKUP(D350,Fornitori!$A$2:$C$6,2,FALSE())</f>
        <v>Pneumax Service</v>
      </c>
      <c r="F350" s="0" t="n">
        <v>14</v>
      </c>
      <c r="G350" s="0" t="n">
        <v>6</v>
      </c>
      <c r="H350" s="0" t="str">
        <f aca="false">IF(F350&lt;G350,"SI","NO")</f>
        <v>NO</v>
      </c>
    </row>
    <row r="351" customFormat="false" ht="15" hidden="false" customHeight="false" outlineLevel="0" collapsed="false">
      <c r="A351" s="0" t="s">
        <v>1012</v>
      </c>
      <c r="B351" s="0" t="s">
        <v>1013</v>
      </c>
      <c r="C351" s="0" t="s">
        <v>1014</v>
      </c>
      <c r="D351" s="2" t="s">
        <v>27</v>
      </c>
      <c r="E351" s="0" t="str">
        <f aca="false">VLOOKUP(D351,Fornitori!$A$2:$C$6,2,FALSE())</f>
        <v>Guarnizioni Alpi</v>
      </c>
      <c r="F351" s="0" t="n">
        <v>9</v>
      </c>
      <c r="G351" s="0" t="n">
        <v>13</v>
      </c>
      <c r="H351" s="0" t="str">
        <f aca="false">IF(F351&lt;G351,"SI","NO")</f>
        <v>SI</v>
      </c>
    </row>
    <row r="352" customFormat="false" ht="15" hidden="false" customHeight="false" outlineLevel="0" collapsed="false">
      <c r="A352" s="0" t="s">
        <v>1015</v>
      </c>
      <c r="B352" s="0" t="s">
        <v>1016</v>
      </c>
      <c r="C352" s="0" t="s">
        <v>152</v>
      </c>
      <c r="D352" s="2" t="s">
        <v>11</v>
      </c>
      <c r="E352" s="0" t="str">
        <f aca="false">VLOOKUP(D352,Fornitori!$A$2:$C$6,2,FALSE())</f>
        <v>Meccanica Bassi S.r.l.</v>
      </c>
      <c r="F352" s="0" t="n">
        <v>17</v>
      </c>
      <c r="G352" s="0" t="n">
        <v>23</v>
      </c>
      <c r="H352" s="0" t="str">
        <f aca="false">IF(F352&lt;G352,"SI","NO")</f>
        <v>SI</v>
      </c>
    </row>
    <row r="353" customFormat="false" ht="15" hidden="false" customHeight="false" outlineLevel="0" collapsed="false">
      <c r="A353" s="0" t="s">
        <v>1017</v>
      </c>
      <c r="B353" s="0" t="s">
        <v>1018</v>
      </c>
      <c r="C353" s="0" t="s">
        <v>1019</v>
      </c>
      <c r="D353" s="2" t="s">
        <v>15</v>
      </c>
      <c r="E353" s="0" t="str">
        <f aca="false">VLOOKUP(D353,Fornitori!$A$2:$C$6,2,FALSE())</f>
        <v>Rulmeca Italia</v>
      </c>
      <c r="F353" s="0" t="n">
        <v>6</v>
      </c>
      <c r="G353" s="0" t="n">
        <v>15</v>
      </c>
      <c r="H353" s="0" t="str">
        <f aca="false">IF(F353&lt;G353,"SI","NO")</f>
        <v>SI</v>
      </c>
    </row>
    <row r="354" customFormat="false" ht="15" hidden="false" customHeight="false" outlineLevel="0" collapsed="false">
      <c r="A354" s="0" t="s">
        <v>1020</v>
      </c>
      <c r="B354" s="0" t="s">
        <v>1021</v>
      </c>
      <c r="C354" s="0" t="s">
        <v>1022</v>
      </c>
      <c r="D354" s="2" t="s">
        <v>19</v>
      </c>
      <c r="E354" s="0" t="str">
        <f aca="false">VLOOKUP(D354,Fornitori!$A$2:$C$6,2,FALSE())</f>
        <v>Elettrotecnica Ferri</v>
      </c>
      <c r="F354" s="0" t="n">
        <v>3</v>
      </c>
      <c r="G354" s="0" t="n">
        <v>11</v>
      </c>
      <c r="H354" s="0" t="str">
        <f aca="false">IF(F354&lt;G354,"SI","NO")</f>
        <v>SI</v>
      </c>
    </row>
    <row r="355" customFormat="false" ht="15" hidden="false" customHeight="false" outlineLevel="0" collapsed="false">
      <c r="A355" s="0" t="s">
        <v>1023</v>
      </c>
      <c r="B355" s="0" t="s">
        <v>1024</v>
      </c>
      <c r="C355" s="0" t="s">
        <v>1025</v>
      </c>
      <c r="D355" s="2" t="s">
        <v>23</v>
      </c>
      <c r="E355" s="0" t="str">
        <f aca="false">VLOOKUP(D355,Fornitori!$A$2:$C$6,2,FALSE())</f>
        <v>Pneumax Service</v>
      </c>
      <c r="F355" s="0" t="n">
        <v>12</v>
      </c>
      <c r="G355" s="0" t="n">
        <v>16</v>
      </c>
      <c r="H355" s="0" t="str">
        <f aca="false">IF(F355&lt;G355,"SI","NO")</f>
        <v>SI</v>
      </c>
    </row>
    <row r="356" customFormat="false" ht="15" hidden="false" customHeight="false" outlineLevel="0" collapsed="false">
      <c r="A356" s="0" t="s">
        <v>1026</v>
      </c>
      <c r="B356" s="0" t="s">
        <v>1027</v>
      </c>
      <c r="C356" s="0" t="s">
        <v>1028</v>
      </c>
      <c r="D356" s="2" t="s">
        <v>27</v>
      </c>
      <c r="E356" s="0" t="str">
        <f aca="false">VLOOKUP(D356,Fornitori!$A$2:$C$6,2,FALSE())</f>
        <v>Guarnizioni Alpi</v>
      </c>
      <c r="F356" s="0" t="n">
        <v>24</v>
      </c>
      <c r="G356" s="0" t="n">
        <v>14</v>
      </c>
      <c r="H356" s="0" t="str">
        <f aca="false">IF(F356&lt;G356,"SI","NO")</f>
        <v>NO</v>
      </c>
    </row>
    <row r="357" customFormat="false" ht="15" hidden="false" customHeight="false" outlineLevel="0" collapsed="false">
      <c r="A357" s="0" t="s">
        <v>1029</v>
      </c>
      <c r="B357" s="0" t="s">
        <v>1030</v>
      </c>
      <c r="C357" s="0" t="s">
        <v>1031</v>
      </c>
      <c r="D357" s="2" t="s">
        <v>11</v>
      </c>
      <c r="E357" s="0" t="str">
        <f aca="false">VLOOKUP(D357,Fornitori!$A$2:$C$6,2,FALSE())</f>
        <v>Meccanica Bassi S.r.l.</v>
      </c>
      <c r="F357" s="0" t="n">
        <v>9</v>
      </c>
      <c r="G357" s="0" t="n">
        <v>5</v>
      </c>
      <c r="H357" s="0" t="str">
        <f aca="false">IF(F357&lt;G357,"SI","NO")</f>
        <v>NO</v>
      </c>
    </row>
    <row r="358" customFormat="false" ht="15" hidden="false" customHeight="false" outlineLevel="0" collapsed="false">
      <c r="A358" s="0" t="s">
        <v>1032</v>
      </c>
      <c r="B358" s="0" t="s">
        <v>1033</v>
      </c>
      <c r="C358" s="0" t="s">
        <v>738</v>
      </c>
      <c r="D358" s="2" t="s">
        <v>15</v>
      </c>
      <c r="E358" s="0" t="str">
        <f aca="false">VLOOKUP(D358,Fornitori!$A$2:$C$6,2,FALSE())</f>
        <v>Rulmeca Italia</v>
      </c>
      <c r="F358" s="0" t="n">
        <v>28</v>
      </c>
      <c r="G358" s="0" t="n">
        <v>5</v>
      </c>
      <c r="H358" s="0" t="str">
        <f aca="false">IF(F358&lt;G358,"SI","NO")</f>
        <v>NO</v>
      </c>
    </row>
    <row r="359" customFormat="false" ht="15" hidden="false" customHeight="false" outlineLevel="0" collapsed="false">
      <c r="A359" s="0" t="s">
        <v>1034</v>
      </c>
      <c r="B359" s="0" t="s">
        <v>1035</v>
      </c>
      <c r="C359" s="0" t="s">
        <v>1036</v>
      </c>
      <c r="D359" s="2" t="s">
        <v>19</v>
      </c>
      <c r="E359" s="0" t="str">
        <f aca="false">VLOOKUP(D359,Fornitori!$A$2:$C$6,2,FALSE())</f>
        <v>Elettrotecnica Ferri</v>
      </c>
      <c r="F359" s="0" t="n">
        <v>58</v>
      </c>
      <c r="G359" s="0" t="n">
        <v>18</v>
      </c>
      <c r="H359" s="0" t="str">
        <f aca="false">IF(F359&lt;G359,"SI","NO")</f>
        <v>NO</v>
      </c>
    </row>
    <row r="360" customFormat="false" ht="15" hidden="false" customHeight="false" outlineLevel="0" collapsed="false">
      <c r="A360" s="0" t="s">
        <v>1037</v>
      </c>
      <c r="B360" s="0" t="s">
        <v>1038</v>
      </c>
      <c r="C360" s="0" t="s">
        <v>1039</v>
      </c>
      <c r="D360" s="2" t="s">
        <v>23</v>
      </c>
      <c r="E360" s="0" t="str">
        <f aca="false">VLOOKUP(D360,Fornitori!$A$2:$C$6,2,FALSE())</f>
        <v>Pneumax Service</v>
      </c>
      <c r="F360" s="0" t="n">
        <v>11</v>
      </c>
      <c r="G360" s="0" t="n">
        <v>21</v>
      </c>
      <c r="H360" s="0" t="str">
        <f aca="false">IF(F360&lt;G360,"SI","NO")</f>
        <v>SI</v>
      </c>
    </row>
    <row r="361" customFormat="false" ht="15" hidden="false" customHeight="false" outlineLevel="0" collapsed="false">
      <c r="A361" s="0" t="s">
        <v>1040</v>
      </c>
      <c r="B361" s="0" t="s">
        <v>1041</v>
      </c>
      <c r="C361" s="0" t="s">
        <v>1042</v>
      </c>
      <c r="D361" s="2" t="s">
        <v>27</v>
      </c>
      <c r="E361" s="0" t="str">
        <f aca="false">VLOOKUP(D361,Fornitori!$A$2:$C$6,2,FALSE())</f>
        <v>Guarnizioni Alpi</v>
      </c>
      <c r="F361" s="0" t="n">
        <v>53</v>
      </c>
      <c r="G361" s="0" t="n">
        <v>7</v>
      </c>
      <c r="H361" s="0" t="str">
        <f aca="false">IF(F361&lt;G361,"SI","NO")</f>
        <v>NO</v>
      </c>
    </row>
    <row r="362" customFormat="false" ht="15" hidden="false" customHeight="false" outlineLevel="0" collapsed="false">
      <c r="A362" s="0" t="s">
        <v>1043</v>
      </c>
      <c r="B362" s="0" t="s">
        <v>1044</v>
      </c>
      <c r="C362" s="0" t="s">
        <v>1045</v>
      </c>
      <c r="D362" s="2" t="s">
        <v>11</v>
      </c>
      <c r="E362" s="0" t="str">
        <f aca="false">VLOOKUP(D362,Fornitori!$A$2:$C$6,2,FALSE())</f>
        <v>Meccanica Bassi S.r.l.</v>
      </c>
      <c r="F362" s="0" t="n">
        <v>39</v>
      </c>
      <c r="G362" s="0" t="n">
        <v>11</v>
      </c>
      <c r="H362" s="0" t="str">
        <f aca="false">IF(F362&lt;G362,"SI","NO")</f>
        <v>NO</v>
      </c>
    </row>
    <row r="363" customFormat="false" ht="15" hidden="false" customHeight="false" outlineLevel="0" collapsed="false">
      <c r="A363" s="0" t="s">
        <v>1046</v>
      </c>
      <c r="B363" s="0" t="s">
        <v>1047</v>
      </c>
      <c r="C363" s="0" t="s">
        <v>1048</v>
      </c>
      <c r="D363" s="2" t="s">
        <v>15</v>
      </c>
      <c r="E363" s="0" t="str">
        <f aca="false">VLOOKUP(D363,Fornitori!$A$2:$C$6,2,FALSE())</f>
        <v>Rulmeca Italia</v>
      </c>
      <c r="F363" s="0" t="n">
        <v>46</v>
      </c>
      <c r="G363" s="0" t="n">
        <v>21</v>
      </c>
      <c r="H363" s="0" t="str">
        <f aca="false">IF(F363&lt;G363,"SI","NO")</f>
        <v>NO</v>
      </c>
    </row>
    <row r="364" customFormat="false" ht="15" hidden="false" customHeight="false" outlineLevel="0" collapsed="false">
      <c r="A364" s="0" t="s">
        <v>1049</v>
      </c>
      <c r="B364" s="0" t="s">
        <v>1050</v>
      </c>
      <c r="C364" s="0" t="s">
        <v>1051</v>
      </c>
      <c r="D364" s="2" t="s">
        <v>19</v>
      </c>
      <c r="E364" s="0" t="str">
        <f aca="false">VLOOKUP(D364,Fornitori!$A$2:$C$6,2,FALSE())</f>
        <v>Elettrotecnica Ferri</v>
      </c>
      <c r="F364" s="0" t="n">
        <v>53</v>
      </c>
      <c r="G364" s="0" t="n">
        <v>20</v>
      </c>
      <c r="H364" s="0" t="str">
        <f aca="false">IF(F364&lt;G364,"SI","NO")</f>
        <v>NO</v>
      </c>
    </row>
    <row r="365" customFormat="false" ht="15" hidden="false" customHeight="false" outlineLevel="0" collapsed="false">
      <c r="A365" s="0" t="s">
        <v>1052</v>
      </c>
      <c r="B365" s="0" t="s">
        <v>1053</v>
      </c>
      <c r="C365" s="0" t="s">
        <v>1054</v>
      </c>
      <c r="D365" s="2" t="s">
        <v>23</v>
      </c>
      <c r="E365" s="0" t="str">
        <f aca="false">VLOOKUP(D365,Fornitori!$A$2:$C$6,2,FALSE())</f>
        <v>Pneumax Service</v>
      </c>
      <c r="F365" s="0" t="n">
        <v>55</v>
      </c>
      <c r="G365" s="0" t="n">
        <v>13</v>
      </c>
      <c r="H365" s="0" t="str">
        <f aca="false">IF(F365&lt;G365,"SI","NO")</f>
        <v>NO</v>
      </c>
    </row>
    <row r="366" customFormat="false" ht="15" hidden="false" customHeight="false" outlineLevel="0" collapsed="false">
      <c r="A366" s="0" t="s">
        <v>1055</v>
      </c>
      <c r="B366" s="0" t="s">
        <v>1056</v>
      </c>
      <c r="C366" s="0" t="s">
        <v>1057</v>
      </c>
      <c r="D366" s="2" t="s">
        <v>27</v>
      </c>
      <c r="E366" s="0" t="str">
        <f aca="false">VLOOKUP(D366,Fornitori!$A$2:$C$6,2,FALSE())</f>
        <v>Guarnizioni Alpi</v>
      </c>
      <c r="F366" s="0" t="n">
        <v>44</v>
      </c>
      <c r="G366" s="0" t="n">
        <v>16</v>
      </c>
      <c r="H366" s="0" t="str">
        <f aca="false">IF(F366&lt;G366,"SI","NO")</f>
        <v>NO</v>
      </c>
    </row>
    <row r="367" customFormat="false" ht="15" hidden="false" customHeight="false" outlineLevel="0" collapsed="false">
      <c r="A367" s="0" t="s">
        <v>1058</v>
      </c>
      <c r="B367" s="0" t="s">
        <v>1059</v>
      </c>
      <c r="C367" s="0" t="s">
        <v>1060</v>
      </c>
      <c r="D367" s="2" t="s">
        <v>11</v>
      </c>
      <c r="E367" s="0" t="str">
        <f aca="false">VLOOKUP(D367,Fornitori!$A$2:$C$6,2,FALSE())</f>
        <v>Meccanica Bassi S.r.l.</v>
      </c>
      <c r="F367" s="0" t="n">
        <v>7</v>
      </c>
      <c r="G367" s="0" t="n">
        <v>16</v>
      </c>
      <c r="H367" s="0" t="str">
        <f aca="false">IF(F367&lt;G367,"SI","NO")</f>
        <v>SI</v>
      </c>
    </row>
    <row r="368" customFormat="false" ht="15" hidden="false" customHeight="false" outlineLevel="0" collapsed="false">
      <c r="A368" s="0" t="s">
        <v>1061</v>
      </c>
      <c r="B368" s="0" t="s">
        <v>1062</v>
      </c>
      <c r="C368" s="0" t="s">
        <v>1063</v>
      </c>
      <c r="D368" s="2" t="s">
        <v>15</v>
      </c>
      <c r="E368" s="0" t="str">
        <f aca="false">VLOOKUP(D368,Fornitori!$A$2:$C$6,2,FALSE())</f>
        <v>Rulmeca Italia</v>
      </c>
      <c r="F368" s="0" t="n">
        <v>57</v>
      </c>
      <c r="G368" s="0" t="n">
        <v>6</v>
      </c>
      <c r="H368" s="0" t="str">
        <f aca="false">IF(F368&lt;G368,"SI","NO")</f>
        <v>NO</v>
      </c>
    </row>
    <row r="369" customFormat="false" ht="15" hidden="false" customHeight="false" outlineLevel="0" collapsed="false">
      <c r="A369" s="0" t="s">
        <v>1064</v>
      </c>
      <c r="B369" s="0" t="s">
        <v>1065</v>
      </c>
      <c r="C369" s="0" t="s">
        <v>1066</v>
      </c>
      <c r="D369" s="2" t="s">
        <v>19</v>
      </c>
      <c r="E369" s="0" t="str">
        <f aca="false">VLOOKUP(D369,Fornitori!$A$2:$C$6,2,FALSE())</f>
        <v>Elettrotecnica Ferri</v>
      </c>
      <c r="F369" s="0" t="n">
        <v>1</v>
      </c>
      <c r="G369" s="0" t="n">
        <v>21</v>
      </c>
      <c r="H369" s="0" t="str">
        <f aca="false">IF(F369&lt;G369,"SI","NO")</f>
        <v>SI</v>
      </c>
    </row>
    <row r="370" customFormat="false" ht="15" hidden="false" customHeight="false" outlineLevel="0" collapsed="false">
      <c r="A370" s="0" t="s">
        <v>1067</v>
      </c>
      <c r="B370" s="0" t="s">
        <v>1068</v>
      </c>
      <c r="C370" s="0" t="s">
        <v>1069</v>
      </c>
      <c r="D370" s="2" t="s">
        <v>23</v>
      </c>
      <c r="E370" s="0" t="str">
        <f aca="false">VLOOKUP(D370,Fornitori!$A$2:$C$6,2,FALSE())</f>
        <v>Pneumax Service</v>
      </c>
      <c r="F370" s="0" t="n">
        <v>39</v>
      </c>
      <c r="G370" s="0" t="n">
        <v>10</v>
      </c>
      <c r="H370" s="0" t="str">
        <f aca="false">IF(F370&lt;G370,"SI","NO")</f>
        <v>NO</v>
      </c>
    </row>
    <row r="371" customFormat="false" ht="15" hidden="false" customHeight="false" outlineLevel="0" collapsed="false">
      <c r="A371" s="0" t="s">
        <v>1070</v>
      </c>
      <c r="B371" s="0" t="s">
        <v>1071</v>
      </c>
      <c r="C371" s="0" t="s">
        <v>1072</v>
      </c>
      <c r="D371" s="2" t="s">
        <v>27</v>
      </c>
      <c r="E371" s="0" t="str">
        <f aca="false">VLOOKUP(D371,Fornitori!$A$2:$C$6,2,FALSE())</f>
        <v>Guarnizioni Alpi</v>
      </c>
      <c r="F371" s="0" t="n">
        <v>52</v>
      </c>
      <c r="G371" s="0" t="n">
        <v>5</v>
      </c>
      <c r="H371" s="0" t="str">
        <f aca="false">IF(F371&lt;G371,"SI","NO")</f>
        <v>NO</v>
      </c>
    </row>
    <row r="372" customFormat="false" ht="15" hidden="false" customHeight="false" outlineLevel="0" collapsed="false">
      <c r="A372" s="0" t="s">
        <v>1073</v>
      </c>
      <c r="B372" s="0" t="s">
        <v>1074</v>
      </c>
      <c r="C372" s="0" t="s">
        <v>1075</v>
      </c>
      <c r="D372" s="2" t="s">
        <v>11</v>
      </c>
      <c r="E372" s="0" t="str">
        <f aca="false">VLOOKUP(D372,Fornitori!$A$2:$C$6,2,FALSE())</f>
        <v>Meccanica Bassi S.r.l.</v>
      </c>
      <c r="F372" s="0" t="n">
        <v>53</v>
      </c>
      <c r="G372" s="0" t="n">
        <v>24</v>
      </c>
      <c r="H372" s="0" t="str">
        <f aca="false">IF(F372&lt;G372,"SI","NO")</f>
        <v>NO</v>
      </c>
    </row>
    <row r="373" customFormat="false" ht="15" hidden="false" customHeight="false" outlineLevel="0" collapsed="false">
      <c r="A373" s="0" t="s">
        <v>1076</v>
      </c>
      <c r="B373" s="0" t="s">
        <v>1077</v>
      </c>
      <c r="C373" s="0" t="s">
        <v>1078</v>
      </c>
      <c r="D373" s="2" t="s">
        <v>15</v>
      </c>
      <c r="E373" s="0" t="str">
        <f aca="false">VLOOKUP(D373,Fornitori!$A$2:$C$6,2,FALSE())</f>
        <v>Rulmeca Italia</v>
      </c>
      <c r="F373" s="0" t="n">
        <v>6</v>
      </c>
      <c r="G373" s="0" t="n">
        <v>16</v>
      </c>
      <c r="H373" s="0" t="str">
        <f aca="false">IF(F373&lt;G373,"SI","NO")</f>
        <v>SI</v>
      </c>
    </row>
    <row r="374" customFormat="false" ht="15" hidden="false" customHeight="false" outlineLevel="0" collapsed="false">
      <c r="A374" s="0" t="s">
        <v>1079</v>
      </c>
      <c r="B374" s="0" t="s">
        <v>1080</v>
      </c>
      <c r="C374" s="0" t="s">
        <v>1081</v>
      </c>
      <c r="D374" s="2" t="s">
        <v>19</v>
      </c>
      <c r="E374" s="0" t="str">
        <f aca="false">VLOOKUP(D374,Fornitori!$A$2:$C$6,2,FALSE())</f>
        <v>Elettrotecnica Ferri</v>
      </c>
      <c r="F374" s="0" t="n">
        <v>29</v>
      </c>
      <c r="G374" s="0" t="n">
        <v>20</v>
      </c>
      <c r="H374" s="0" t="str">
        <f aca="false">IF(F374&lt;G374,"SI","NO")</f>
        <v>NO</v>
      </c>
    </row>
    <row r="375" customFormat="false" ht="15" hidden="false" customHeight="false" outlineLevel="0" collapsed="false">
      <c r="A375" s="0" t="s">
        <v>1082</v>
      </c>
      <c r="B375" s="0" t="s">
        <v>1083</v>
      </c>
      <c r="C375" s="0" t="s">
        <v>1084</v>
      </c>
      <c r="D375" s="2" t="s">
        <v>23</v>
      </c>
      <c r="E375" s="0" t="str">
        <f aca="false">VLOOKUP(D375,Fornitori!$A$2:$C$6,2,FALSE())</f>
        <v>Pneumax Service</v>
      </c>
      <c r="F375" s="0" t="n">
        <v>56</v>
      </c>
      <c r="G375" s="0" t="n">
        <v>9</v>
      </c>
      <c r="H375" s="0" t="str">
        <f aca="false">IF(F375&lt;G375,"SI","NO")</f>
        <v>NO</v>
      </c>
    </row>
    <row r="376" customFormat="false" ht="15" hidden="false" customHeight="false" outlineLevel="0" collapsed="false">
      <c r="A376" s="0" t="s">
        <v>1085</v>
      </c>
      <c r="B376" s="0" t="s">
        <v>942</v>
      </c>
      <c r="C376" s="0" t="s">
        <v>1086</v>
      </c>
      <c r="D376" s="2" t="s">
        <v>27</v>
      </c>
      <c r="E376" s="0" t="str">
        <f aca="false">VLOOKUP(D376,Fornitori!$A$2:$C$6,2,FALSE())</f>
        <v>Guarnizioni Alpi</v>
      </c>
      <c r="F376" s="0" t="n">
        <v>29</v>
      </c>
      <c r="G376" s="0" t="n">
        <v>17</v>
      </c>
      <c r="H376" s="0" t="str">
        <f aca="false">IF(F376&lt;G376,"SI","NO")</f>
        <v>NO</v>
      </c>
    </row>
    <row r="377" customFormat="false" ht="15" hidden="false" customHeight="false" outlineLevel="0" collapsed="false">
      <c r="A377" s="0" t="s">
        <v>1087</v>
      </c>
      <c r="B377" s="0" t="s">
        <v>148</v>
      </c>
      <c r="C377" s="0" t="s">
        <v>1088</v>
      </c>
      <c r="D377" s="2" t="s">
        <v>11</v>
      </c>
      <c r="E377" s="0" t="str">
        <f aca="false">VLOOKUP(D377,Fornitori!$A$2:$C$6,2,FALSE())</f>
        <v>Meccanica Bassi S.r.l.</v>
      </c>
      <c r="F377" s="0" t="n">
        <v>38</v>
      </c>
      <c r="G377" s="0" t="n">
        <v>24</v>
      </c>
      <c r="H377" s="0" t="str">
        <f aca="false">IF(F377&lt;G377,"SI","NO")</f>
        <v>NO</v>
      </c>
    </row>
    <row r="378" customFormat="false" ht="15" hidden="false" customHeight="false" outlineLevel="0" collapsed="false">
      <c r="A378" s="0" t="s">
        <v>1089</v>
      </c>
      <c r="B378" s="0" t="s">
        <v>1090</v>
      </c>
      <c r="C378" s="0" t="s">
        <v>517</v>
      </c>
      <c r="D378" s="2" t="s">
        <v>15</v>
      </c>
      <c r="E378" s="0" t="str">
        <f aca="false">VLOOKUP(D378,Fornitori!$A$2:$C$6,2,FALSE())</f>
        <v>Rulmeca Italia</v>
      </c>
      <c r="F378" s="0" t="n">
        <v>25</v>
      </c>
      <c r="G378" s="0" t="n">
        <v>12</v>
      </c>
      <c r="H378" s="0" t="str">
        <f aca="false">IF(F378&lt;G378,"SI","NO")</f>
        <v>NO</v>
      </c>
    </row>
    <row r="379" customFormat="false" ht="15" hidden="false" customHeight="false" outlineLevel="0" collapsed="false">
      <c r="A379" s="0" t="s">
        <v>1091</v>
      </c>
      <c r="B379" s="0" t="s">
        <v>1092</v>
      </c>
      <c r="C379" s="0" t="s">
        <v>1093</v>
      </c>
      <c r="D379" s="2" t="s">
        <v>19</v>
      </c>
      <c r="E379" s="0" t="str">
        <f aca="false">VLOOKUP(D379,Fornitori!$A$2:$C$6,2,FALSE())</f>
        <v>Elettrotecnica Ferri</v>
      </c>
      <c r="F379" s="0" t="n">
        <v>35</v>
      </c>
      <c r="G379" s="0" t="n">
        <v>6</v>
      </c>
      <c r="H379" s="0" t="str">
        <f aca="false">IF(F379&lt;G379,"SI","NO")</f>
        <v>NO</v>
      </c>
    </row>
    <row r="380" customFormat="false" ht="15" hidden="false" customHeight="false" outlineLevel="0" collapsed="false">
      <c r="A380" s="0" t="s">
        <v>1094</v>
      </c>
      <c r="B380" s="0" t="s">
        <v>620</v>
      </c>
      <c r="C380" s="0" t="s">
        <v>1095</v>
      </c>
      <c r="D380" s="2" t="s">
        <v>23</v>
      </c>
      <c r="E380" s="0" t="str">
        <f aca="false">VLOOKUP(D380,Fornitori!$A$2:$C$6,2,FALSE())</f>
        <v>Pneumax Service</v>
      </c>
      <c r="F380" s="0" t="n">
        <v>15</v>
      </c>
      <c r="G380" s="0" t="n">
        <v>18</v>
      </c>
      <c r="H380" s="0" t="str">
        <f aca="false">IF(F380&lt;G380,"SI","NO")</f>
        <v>SI</v>
      </c>
    </row>
    <row r="381" customFormat="false" ht="15" hidden="false" customHeight="false" outlineLevel="0" collapsed="false">
      <c r="A381" s="0" t="s">
        <v>1096</v>
      </c>
      <c r="B381" s="0" t="s">
        <v>336</v>
      </c>
      <c r="C381" s="0" t="s">
        <v>1097</v>
      </c>
      <c r="D381" s="2" t="s">
        <v>27</v>
      </c>
      <c r="E381" s="0" t="str">
        <f aca="false">VLOOKUP(D381,Fornitori!$A$2:$C$6,2,FALSE())</f>
        <v>Guarnizioni Alpi</v>
      </c>
      <c r="F381" s="0" t="n">
        <v>4</v>
      </c>
      <c r="G381" s="0" t="n">
        <v>15</v>
      </c>
      <c r="H381" s="0" t="str">
        <f aca="false">IF(F381&lt;G381,"SI","NO")</f>
        <v>SI</v>
      </c>
    </row>
    <row r="382" customFormat="false" ht="15" hidden="false" customHeight="false" outlineLevel="0" collapsed="false">
      <c r="A382" s="0" t="s">
        <v>1098</v>
      </c>
      <c r="B382" s="0" t="s">
        <v>1099</v>
      </c>
      <c r="C382" s="0" t="s">
        <v>623</v>
      </c>
      <c r="D382" s="2" t="s">
        <v>11</v>
      </c>
      <c r="E382" s="0" t="str">
        <f aca="false">VLOOKUP(D382,Fornitori!$A$2:$C$6,2,FALSE())</f>
        <v>Meccanica Bassi S.r.l.</v>
      </c>
      <c r="F382" s="0" t="n">
        <v>26</v>
      </c>
      <c r="G382" s="0" t="n">
        <v>17</v>
      </c>
      <c r="H382" s="0" t="str">
        <f aca="false">IF(F382&lt;G382,"SI","NO")</f>
        <v>NO</v>
      </c>
    </row>
    <row r="383" customFormat="false" ht="15" hidden="false" customHeight="false" outlineLevel="0" collapsed="false">
      <c r="A383" s="0" t="s">
        <v>1100</v>
      </c>
      <c r="B383" s="0" t="s">
        <v>1101</v>
      </c>
      <c r="C383" s="0" t="s">
        <v>966</v>
      </c>
      <c r="D383" s="2" t="s">
        <v>15</v>
      </c>
      <c r="E383" s="0" t="str">
        <f aca="false">VLOOKUP(D383,Fornitori!$A$2:$C$6,2,FALSE())</f>
        <v>Rulmeca Italia</v>
      </c>
      <c r="F383" s="0" t="n">
        <v>55</v>
      </c>
      <c r="G383" s="0" t="n">
        <v>24</v>
      </c>
      <c r="H383" s="0" t="str">
        <f aca="false">IF(F383&lt;G383,"SI","NO")</f>
        <v>NO</v>
      </c>
    </row>
    <row r="384" customFormat="false" ht="15" hidden="false" customHeight="false" outlineLevel="0" collapsed="false">
      <c r="A384" s="0" t="s">
        <v>1102</v>
      </c>
      <c r="B384" s="0" t="s">
        <v>1103</v>
      </c>
      <c r="C384" s="0" t="s">
        <v>1104</v>
      </c>
      <c r="D384" s="2" t="s">
        <v>19</v>
      </c>
      <c r="E384" s="0" t="str">
        <f aca="false">VLOOKUP(D384,Fornitori!$A$2:$C$6,2,FALSE())</f>
        <v>Elettrotecnica Ferri</v>
      </c>
      <c r="F384" s="0" t="n">
        <v>51</v>
      </c>
      <c r="G384" s="0" t="n">
        <v>6</v>
      </c>
      <c r="H384" s="0" t="str">
        <f aca="false">IF(F384&lt;G384,"SI","NO")</f>
        <v>NO</v>
      </c>
    </row>
    <row r="385" customFormat="false" ht="15" hidden="false" customHeight="false" outlineLevel="0" collapsed="false">
      <c r="A385" s="0" t="s">
        <v>1105</v>
      </c>
      <c r="B385" s="0" t="s">
        <v>1106</v>
      </c>
      <c r="C385" s="0" t="s">
        <v>1107</v>
      </c>
      <c r="D385" s="2" t="s">
        <v>23</v>
      </c>
      <c r="E385" s="0" t="str">
        <f aca="false">VLOOKUP(D385,Fornitori!$A$2:$C$6,2,FALSE())</f>
        <v>Pneumax Service</v>
      </c>
      <c r="F385" s="0" t="n">
        <v>27</v>
      </c>
      <c r="G385" s="0" t="n">
        <v>12</v>
      </c>
      <c r="H385" s="0" t="str">
        <f aca="false">IF(F385&lt;G385,"SI","NO")</f>
        <v>NO</v>
      </c>
    </row>
    <row r="386" customFormat="false" ht="15" hidden="false" customHeight="false" outlineLevel="0" collapsed="false">
      <c r="A386" s="0" t="s">
        <v>1108</v>
      </c>
      <c r="B386" s="0" t="s">
        <v>1109</v>
      </c>
      <c r="C386" s="0" t="s">
        <v>1110</v>
      </c>
      <c r="D386" s="2" t="s">
        <v>27</v>
      </c>
      <c r="E386" s="0" t="str">
        <f aca="false">VLOOKUP(D386,Fornitori!$A$2:$C$6,2,FALSE())</f>
        <v>Guarnizioni Alpi</v>
      </c>
      <c r="F386" s="0" t="n">
        <v>41</v>
      </c>
      <c r="G386" s="0" t="n">
        <v>10</v>
      </c>
      <c r="H386" s="0" t="str">
        <f aca="false">IF(F386&lt;G386,"SI","NO")</f>
        <v>NO</v>
      </c>
    </row>
    <row r="387" customFormat="false" ht="15" hidden="false" customHeight="false" outlineLevel="0" collapsed="false">
      <c r="A387" s="0" t="s">
        <v>1111</v>
      </c>
      <c r="B387" s="0" t="s">
        <v>1112</v>
      </c>
      <c r="C387" s="0" t="s">
        <v>287</v>
      </c>
      <c r="D387" s="2" t="s">
        <v>11</v>
      </c>
      <c r="E387" s="0" t="str">
        <f aca="false">VLOOKUP(D387,Fornitori!$A$2:$C$6,2,FALSE())</f>
        <v>Meccanica Bassi S.r.l.</v>
      </c>
      <c r="F387" s="0" t="n">
        <v>37</v>
      </c>
      <c r="G387" s="0" t="n">
        <v>22</v>
      </c>
      <c r="H387" s="0" t="str">
        <f aca="false">IF(F387&lt;G387,"SI","NO")</f>
        <v>NO</v>
      </c>
    </row>
    <row r="388" customFormat="false" ht="15" hidden="false" customHeight="false" outlineLevel="0" collapsed="false">
      <c r="A388" s="0" t="s">
        <v>1113</v>
      </c>
      <c r="B388" s="0" t="s">
        <v>1114</v>
      </c>
      <c r="C388" s="0" t="s">
        <v>1115</v>
      </c>
      <c r="D388" s="2" t="s">
        <v>15</v>
      </c>
      <c r="E388" s="0" t="str">
        <f aca="false">VLOOKUP(D388,Fornitori!$A$2:$C$6,2,FALSE())</f>
        <v>Rulmeca Italia</v>
      </c>
      <c r="F388" s="0" t="n">
        <v>56</v>
      </c>
      <c r="G388" s="0" t="n">
        <v>14</v>
      </c>
      <c r="H388" s="0" t="str">
        <f aca="false">IF(F388&lt;G388,"SI","NO")</f>
        <v>NO</v>
      </c>
    </row>
    <row r="389" customFormat="false" ht="15" hidden="false" customHeight="false" outlineLevel="0" collapsed="false">
      <c r="A389" s="0" t="s">
        <v>1116</v>
      </c>
      <c r="B389" s="0" t="s">
        <v>1117</v>
      </c>
      <c r="C389" s="0" t="s">
        <v>1118</v>
      </c>
      <c r="D389" s="2" t="s">
        <v>19</v>
      </c>
      <c r="E389" s="0" t="str">
        <f aca="false">VLOOKUP(D389,Fornitori!$A$2:$C$6,2,FALSE())</f>
        <v>Elettrotecnica Ferri</v>
      </c>
      <c r="F389" s="0" t="n">
        <v>47</v>
      </c>
      <c r="G389" s="0" t="n">
        <v>7</v>
      </c>
      <c r="H389" s="0" t="str">
        <f aca="false">IF(F389&lt;G389,"SI","NO")</f>
        <v>NO</v>
      </c>
    </row>
    <row r="390" customFormat="false" ht="15" hidden="false" customHeight="false" outlineLevel="0" collapsed="false">
      <c r="A390" s="0" t="s">
        <v>1119</v>
      </c>
      <c r="B390" s="0" t="s">
        <v>1120</v>
      </c>
      <c r="C390" s="0" t="s">
        <v>1121</v>
      </c>
      <c r="D390" s="2" t="s">
        <v>23</v>
      </c>
      <c r="E390" s="0" t="str">
        <f aca="false">VLOOKUP(D390,Fornitori!$A$2:$C$6,2,FALSE())</f>
        <v>Pneumax Service</v>
      </c>
      <c r="F390" s="0" t="n">
        <v>12</v>
      </c>
      <c r="G390" s="0" t="n">
        <v>22</v>
      </c>
      <c r="H390" s="0" t="str">
        <f aca="false">IF(F390&lt;G390,"SI","NO")</f>
        <v>SI</v>
      </c>
    </row>
    <row r="391" customFormat="false" ht="15" hidden="false" customHeight="false" outlineLevel="0" collapsed="false">
      <c r="A391" s="0" t="s">
        <v>1122</v>
      </c>
      <c r="B391" s="0" t="s">
        <v>1123</v>
      </c>
      <c r="C391" s="0" t="s">
        <v>45</v>
      </c>
      <c r="D391" s="2" t="s">
        <v>27</v>
      </c>
      <c r="E391" s="0" t="str">
        <f aca="false">VLOOKUP(D391,Fornitori!$A$2:$C$6,2,FALSE())</f>
        <v>Guarnizioni Alpi</v>
      </c>
      <c r="F391" s="0" t="n">
        <v>30</v>
      </c>
      <c r="G391" s="0" t="n">
        <v>14</v>
      </c>
      <c r="H391" s="0" t="str">
        <f aca="false">IF(F391&lt;G391,"SI","NO")</f>
        <v>NO</v>
      </c>
    </row>
    <row r="392" customFormat="false" ht="15" hidden="false" customHeight="false" outlineLevel="0" collapsed="false">
      <c r="A392" s="0" t="s">
        <v>1124</v>
      </c>
      <c r="B392" s="0" t="s">
        <v>1125</v>
      </c>
      <c r="C392" s="0" t="s">
        <v>1126</v>
      </c>
      <c r="D392" s="2" t="s">
        <v>11</v>
      </c>
      <c r="E392" s="0" t="str">
        <f aca="false">VLOOKUP(D392,Fornitori!$A$2:$C$6,2,FALSE())</f>
        <v>Meccanica Bassi S.r.l.</v>
      </c>
      <c r="F392" s="0" t="n">
        <v>32</v>
      </c>
      <c r="G392" s="0" t="n">
        <v>22</v>
      </c>
      <c r="H392" s="0" t="str">
        <f aca="false">IF(F392&lt;G392,"SI","NO")</f>
        <v>NO</v>
      </c>
    </row>
    <row r="393" customFormat="false" ht="15" hidden="false" customHeight="false" outlineLevel="0" collapsed="false">
      <c r="A393" s="0" t="s">
        <v>1127</v>
      </c>
      <c r="B393" s="0" t="s">
        <v>1128</v>
      </c>
      <c r="C393" s="0" t="s">
        <v>996</v>
      </c>
      <c r="D393" s="2" t="s">
        <v>15</v>
      </c>
      <c r="E393" s="0" t="str">
        <f aca="false">VLOOKUP(D393,Fornitori!$A$2:$C$6,2,FALSE())</f>
        <v>Rulmeca Italia</v>
      </c>
      <c r="F393" s="0" t="n">
        <v>10</v>
      </c>
      <c r="G393" s="0" t="n">
        <v>12</v>
      </c>
      <c r="H393" s="0" t="str">
        <f aca="false">IF(F393&lt;G393,"SI","NO")</f>
        <v>SI</v>
      </c>
    </row>
    <row r="394" customFormat="false" ht="15" hidden="false" customHeight="false" outlineLevel="0" collapsed="false">
      <c r="A394" s="0" t="s">
        <v>1129</v>
      </c>
      <c r="B394" s="0" t="s">
        <v>1130</v>
      </c>
      <c r="C394" s="0" t="s">
        <v>1131</v>
      </c>
      <c r="D394" s="2" t="s">
        <v>19</v>
      </c>
      <c r="E394" s="0" t="str">
        <f aca="false">VLOOKUP(D394,Fornitori!$A$2:$C$6,2,FALSE())</f>
        <v>Elettrotecnica Ferri</v>
      </c>
      <c r="F394" s="0" t="n">
        <v>18</v>
      </c>
      <c r="G394" s="0" t="n">
        <v>11</v>
      </c>
      <c r="H394" s="0" t="str">
        <f aca="false">IF(F394&lt;G394,"SI","NO")</f>
        <v>NO</v>
      </c>
    </row>
    <row r="395" customFormat="false" ht="15" hidden="false" customHeight="false" outlineLevel="0" collapsed="false">
      <c r="A395" s="0" t="s">
        <v>1132</v>
      </c>
      <c r="B395" s="0" t="s">
        <v>1133</v>
      </c>
      <c r="C395" s="0" t="s">
        <v>1134</v>
      </c>
      <c r="D395" s="2" t="s">
        <v>23</v>
      </c>
      <c r="E395" s="0" t="str">
        <f aca="false">VLOOKUP(D395,Fornitori!$A$2:$C$6,2,FALSE())</f>
        <v>Pneumax Service</v>
      </c>
      <c r="F395" s="0" t="n">
        <v>4</v>
      </c>
      <c r="G395" s="0" t="n">
        <v>24</v>
      </c>
      <c r="H395" s="0" t="str">
        <f aca="false">IF(F395&lt;G395,"SI","NO")</f>
        <v>SI</v>
      </c>
    </row>
    <row r="396" customFormat="false" ht="15" hidden="false" customHeight="false" outlineLevel="0" collapsed="false">
      <c r="A396" s="0" t="s">
        <v>1135</v>
      </c>
      <c r="B396" s="0" t="s">
        <v>1136</v>
      </c>
      <c r="C396" s="0" t="s">
        <v>1137</v>
      </c>
      <c r="D396" s="2" t="s">
        <v>27</v>
      </c>
      <c r="E396" s="0" t="str">
        <f aca="false">VLOOKUP(D396,Fornitori!$A$2:$C$6,2,FALSE())</f>
        <v>Guarnizioni Alpi</v>
      </c>
      <c r="F396" s="0" t="n">
        <v>53</v>
      </c>
      <c r="G396" s="0" t="n">
        <v>19</v>
      </c>
      <c r="H396" s="0" t="str">
        <f aca="false">IF(F396&lt;G396,"SI","NO")</f>
        <v>NO</v>
      </c>
    </row>
    <row r="397" customFormat="false" ht="15" hidden="false" customHeight="false" outlineLevel="0" collapsed="false">
      <c r="A397" s="0" t="s">
        <v>1138</v>
      </c>
      <c r="B397" s="0" t="s">
        <v>1139</v>
      </c>
      <c r="C397" s="0" t="s">
        <v>245</v>
      </c>
      <c r="D397" s="2" t="s">
        <v>11</v>
      </c>
      <c r="E397" s="0" t="str">
        <f aca="false">VLOOKUP(D397,Fornitori!$A$2:$C$6,2,FALSE())</f>
        <v>Meccanica Bassi S.r.l.</v>
      </c>
      <c r="F397" s="0" t="n">
        <v>59</v>
      </c>
      <c r="G397" s="0" t="n">
        <v>9</v>
      </c>
      <c r="H397" s="0" t="str">
        <f aca="false">IF(F397&lt;G397,"SI","NO")</f>
        <v>NO</v>
      </c>
    </row>
    <row r="398" customFormat="false" ht="15" hidden="false" customHeight="false" outlineLevel="0" collapsed="false">
      <c r="A398" s="0" t="s">
        <v>1140</v>
      </c>
      <c r="B398" s="0" t="s">
        <v>1141</v>
      </c>
      <c r="C398" s="0" t="s">
        <v>1142</v>
      </c>
      <c r="D398" s="2" t="s">
        <v>15</v>
      </c>
      <c r="E398" s="0" t="str">
        <f aca="false">VLOOKUP(D398,Fornitori!$A$2:$C$6,2,FALSE())</f>
        <v>Rulmeca Italia</v>
      </c>
      <c r="F398" s="0" t="n">
        <v>12</v>
      </c>
      <c r="G398" s="0" t="n">
        <v>24</v>
      </c>
      <c r="H398" s="0" t="str">
        <f aca="false">IF(F398&lt;G398,"SI","NO")</f>
        <v>SI</v>
      </c>
    </row>
    <row r="399" customFormat="false" ht="15" hidden="false" customHeight="false" outlineLevel="0" collapsed="false">
      <c r="A399" s="0" t="s">
        <v>1143</v>
      </c>
      <c r="B399" s="0" t="s">
        <v>1144</v>
      </c>
      <c r="C399" s="0" t="s">
        <v>113</v>
      </c>
      <c r="D399" s="2" t="s">
        <v>19</v>
      </c>
      <c r="E399" s="0" t="str">
        <f aca="false">VLOOKUP(D399,Fornitori!$A$2:$C$6,2,FALSE())</f>
        <v>Elettrotecnica Ferri</v>
      </c>
      <c r="F399" s="0" t="n">
        <v>47</v>
      </c>
      <c r="G399" s="0" t="n">
        <v>20</v>
      </c>
      <c r="H399" s="0" t="str">
        <f aca="false">IF(F399&lt;G399,"SI","NO")</f>
        <v>NO</v>
      </c>
    </row>
    <row r="400" customFormat="false" ht="15" hidden="false" customHeight="false" outlineLevel="0" collapsed="false">
      <c r="A400" s="0" t="s">
        <v>1145</v>
      </c>
      <c r="B400" s="0" t="s">
        <v>1146</v>
      </c>
      <c r="C400" s="0" t="s">
        <v>1014</v>
      </c>
      <c r="D400" s="2" t="s">
        <v>23</v>
      </c>
      <c r="E400" s="0" t="str">
        <f aca="false">VLOOKUP(D400,Fornitori!$A$2:$C$6,2,FALSE())</f>
        <v>Pneumax Service</v>
      </c>
      <c r="F400" s="0" t="n">
        <v>6</v>
      </c>
      <c r="G400" s="0" t="n">
        <v>5</v>
      </c>
      <c r="H400" s="0" t="str">
        <f aca="false">IF(F400&lt;G400,"SI","NO")</f>
        <v>NO</v>
      </c>
    </row>
    <row r="401" customFormat="false" ht="15" hidden="false" customHeight="false" outlineLevel="0" collapsed="false">
      <c r="A401" s="0" t="s">
        <v>1147</v>
      </c>
      <c r="B401" s="0" t="s">
        <v>1148</v>
      </c>
      <c r="C401" s="0" t="s">
        <v>334</v>
      </c>
      <c r="D401" s="2" t="s">
        <v>27</v>
      </c>
      <c r="E401" s="0" t="str">
        <f aca="false">VLOOKUP(D401,Fornitori!$A$2:$C$6,2,FALSE())</f>
        <v>Guarnizioni Alpi</v>
      </c>
      <c r="F401" s="0" t="n">
        <v>36</v>
      </c>
      <c r="G401" s="0" t="n">
        <v>9</v>
      </c>
      <c r="H401" s="0" t="str">
        <f aca="false">IF(F401&lt;G401,"SI","NO")</f>
        <v>NO</v>
      </c>
    </row>
    <row r="402" customFormat="false" ht="15" hidden="false" customHeight="false" outlineLevel="0" collapsed="false">
      <c r="A402" s="0" t="s">
        <v>1149</v>
      </c>
      <c r="B402" s="0" t="s">
        <v>1044</v>
      </c>
      <c r="C402" s="0" t="s">
        <v>1150</v>
      </c>
      <c r="D402" s="2" t="s">
        <v>11</v>
      </c>
      <c r="E402" s="0" t="str">
        <f aca="false">VLOOKUP(D402,Fornitori!$A$2:$C$6,2,FALSE())</f>
        <v>Meccanica Bassi S.r.l.</v>
      </c>
      <c r="F402" s="0" t="n">
        <v>28</v>
      </c>
      <c r="G402" s="0" t="n">
        <v>19</v>
      </c>
      <c r="H402" s="0" t="str">
        <f aca="false">IF(F402&lt;G402,"SI","NO")</f>
        <v>NO</v>
      </c>
    </row>
    <row r="403" customFormat="false" ht="15" hidden="false" customHeight="false" outlineLevel="0" collapsed="false">
      <c r="A403" s="0" t="s">
        <v>1151</v>
      </c>
      <c r="B403" s="0" t="s">
        <v>1152</v>
      </c>
      <c r="C403" s="0" t="s">
        <v>1153</v>
      </c>
      <c r="D403" s="2" t="s">
        <v>15</v>
      </c>
      <c r="E403" s="0" t="str">
        <f aca="false">VLOOKUP(D403,Fornitori!$A$2:$C$6,2,FALSE())</f>
        <v>Rulmeca Italia</v>
      </c>
      <c r="F403" s="0" t="n">
        <v>33</v>
      </c>
      <c r="G403" s="0" t="n">
        <v>22</v>
      </c>
      <c r="H403" s="0" t="str">
        <f aca="false">IF(F403&lt;G403,"SI","NO")</f>
        <v>NO</v>
      </c>
    </row>
    <row r="404" customFormat="false" ht="15" hidden="false" customHeight="false" outlineLevel="0" collapsed="false">
      <c r="A404" s="0" t="s">
        <v>1154</v>
      </c>
      <c r="B404" s="0" t="s">
        <v>1155</v>
      </c>
      <c r="C404" s="0" t="s">
        <v>1156</v>
      </c>
      <c r="D404" s="2" t="s">
        <v>19</v>
      </c>
      <c r="E404" s="0" t="str">
        <f aca="false">VLOOKUP(D404,Fornitori!$A$2:$C$6,2,FALSE())</f>
        <v>Elettrotecnica Ferri</v>
      </c>
      <c r="F404" s="0" t="n">
        <v>47</v>
      </c>
      <c r="G404" s="0" t="n">
        <v>20</v>
      </c>
      <c r="H404" s="0" t="str">
        <f aca="false">IF(F404&lt;G404,"SI","NO")</f>
        <v>NO</v>
      </c>
    </row>
    <row r="405" customFormat="false" ht="15" hidden="false" customHeight="false" outlineLevel="0" collapsed="false">
      <c r="A405" s="0" t="s">
        <v>1157</v>
      </c>
      <c r="B405" s="0" t="s">
        <v>1158</v>
      </c>
      <c r="C405" s="0" t="s">
        <v>1159</v>
      </c>
      <c r="D405" s="2" t="s">
        <v>23</v>
      </c>
      <c r="E405" s="0" t="str">
        <f aca="false">VLOOKUP(D405,Fornitori!$A$2:$C$6,2,FALSE())</f>
        <v>Pneumax Service</v>
      </c>
      <c r="F405" s="0" t="n">
        <v>19</v>
      </c>
      <c r="G405" s="0" t="n">
        <v>9</v>
      </c>
      <c r="H405" s="0" t="str">
        <f aca="false">IF(F405&lt;G405,"SI","NO")</f>
        <v>NO</v>
      </c>
    </row>
    <row r="406" customFormat="false" ht="15" hidden="false" customHeight="false" outlineLevel="0" collapsed="false">
      <c r="A406" s="0" t="s">
        <v>1160</v>
      </c>
      <c r="B406" s="0" t="s">
        <v>1161</v>
      </c>
      <c r="C406" s="0" t="s">
        <v>1162</v>
      </c>
      <c r="D406" s="2" t="s">
        <v>27</v>
      </c>
      <c r="E406" s="0" t="str">
        <f aca="false">VLOOKUP(D406,Fornitori!$A$2:$C$6,2,FALSE())</f>
        <v>Guarnizioni Alpi</v>
      </c>
      <c r="F406" s="0" t="n">
        <v>5</v>
      </c>
      <c r="G406" s="0" t="n">
        <v>15</v>
      </c>
      <c r="H406" s="0" t="str">
        <f aca="false">IF(F406&lt;G406,"SI","NO")</f>
        <v>SI</v>
      </c>
    </row>
    <row r="407" customFormat="false" ht="15" hidden="false" customHeight="false" outlineLevel="0" collapsed="false">
      <c r="A407" s="0" t="s">
        <v>1163</v>
      </c>
      <c r="B407" s="0" t="s">
        <v>1164</v>
      </c>
      <c r="C407" s="0" t="s">
        <v>131</v>
      </c>
      <c r="D407" s="2" t="s">
        <v>11</v>
      </c>
      <c r="E407" s="0" t="str">
        <f aca="false">VLOOKUP(D407,Fornitori!$A$2:$C$6,2,FALSE())</f>
        <v>Meccanica Bassi S.r.l.</v>
      </c>
      <c r="F407" s="0" t="n">
        <v>27</v>
      </c>
      <c r="G407" s="0" t="n">
        <v>5</v>
      </c>
      <c r="H407" s="0" t="str">
        <f aca="false">IF(F407&lt;G407,"SI","NO")</f>
        <v>NO</v>
      </c>
    </row>
    <row r="408" customFormat="false" ht="15" hidden="false" customHeight="false" outlineLevel="0" collapsed="false">
      <c r="A408" s="0" t="s">
        <v>1165</v>
      </c>
      <c r="B408" s="0" t="s">
        <v>1166</v>
      </c>
      <c r="C408" s="0" t="s">
        <v>182</v>
      </c>
      <c r="D408" s="2" t="s">
        <v>15</v>
      </c>
      <c r="E408" s="0" t="str">
        <f aca="false">VLOOKUP(D408,Fornitori!$A$2:$C$6,2,FALSE())</f>
        <v>Rulmeca Italia</v>
      </c>
      <c r="F408" s="0" t="n">
        <v>31</v>
      </c>
      <c r="G408" s="0" t="n">
        <v>14</v>
      </c>
      <c r="H408" s="0" t="str">
        <f aca="false">IF(F408&lt;G408,"SI","NO")</f>
        <v>NO</v>
      </c>
    </row>
    <row r="409" customFormat="false" ht="15" hidden="false" customHeight="false" outlineLevel="0" collapsed="false">
      <c r="A409" s="0" t="s">
        <v>1167</v>
      </c>
      <c r="B409" s="0" t="s">
        <v>1168</v>
      </c>
      <c r="C409" s="0" t="s">
        <v>1169</v>
      </c>
      <c r="D409" s="2" t="s">
        <v>19</v>
      </c>
      <c r="E409" s="0" t="str">
        <f aca="false">VLOOKUP(D409,Fornitori!$A$2:$C$6,2,FALSE())</f>
        <v>Elettrotecnica Ferri</v>
      </c>
      <c r="F409" s="0" t="n">
        <v>33</v>
      </c>
      <c r="G409" s="0" t="n">
        <v>18</v>
      </c>
      <c r="H409" s="0" t="str">
        <f aca="false">IF(F409&lt;G409,"SI","NO")</f>
        <v>NO</v>
      </c>
    </row>
    <row r="410" customFormat="false" ht="15" hidden="false" customHeight="false" outlineLevel="0" collapsed="false">
      <c r="A410" s="0" t="s">
        <v>1170</v>
      </c>
      <c r="B410" s="0" t="s">
        <v>1171</v>
      </c>
      <c r="C410" s="0" t="s">
        <v>1172</v>
      </c>
      <c r="D410" s="2" t="s">
        <v>23</v>
      </c>
      <c r="E410" s="0" t="str">
        <f aca="false">VLOOKUP(D410,Fornitori!$A$2:$C$6,2,FALSE())</f>
        <v>Pneumax Service</v>
      </c>
      <c r="F410" s="0" t="n">
        <v>43</v>
      </c>
      <c r="G410" s="0" t="n">
        <v>16</v>
      </c>
      <c r="H410" s="0" t="str">
        <f aca="false">IF(F410&lt;G410,"SI","NO")</f>
        <v>NO</v>
      </c>
    </row>
    <row r="411" customFormat="false" ht="15" hidden="false" customHeight="false" outlineLevel="0" collapsed="false">
      <c r="A411" s="0" t="s">
        <v>1173</v>
      </c>
      <c r="B411" s="0" t="s">
        <v>1174</v>
      </c>
      <c r="C411" s="0" t="s">
        <v>1175</v>
      </c>
      <c r="D411" s="2" t="s">
        <v>27</v>
      </c>
      <c r="E411" s="0" t="str">
        <f aca="false">VLOOKUP(D411,Fornitori!$A$2:$C$6,2,FALSE())</f>
        <v>Guarnizioni Alpi</v>
      </c>
      <c r="F411" s="0" t="n">
        <v>6</v>
      </c>
      <c r="G411" s="0" t="n">
        <v>18</v>
      </c>
      <c r="H411" s="0" t="str">
        <f aca="false">IF(F411&lt;G411,"SI","NO")</f>
        <v>SI</v>
      </c>
    </row>
    <row r="412" customFormat="false" ht="15" hidden="false" customHeight="false" outlineLevel="0" collapsed="false">
      <c r="A412" s="0" t="s">
        <v>1176</v>
      </c>
      <c r="B412" s="0" t="s">
        <v>1177</v>
      </c>
      <c r="C412" s="0" t="s">
        <v>871</v>
      </c>
      <c r="D412" s="2" t="s">
        <v>11</v>
      </c>
      <c r="E412" s="0" t="str">
        <f aca="false">VLOOKUP(D412,Fornitori!$A$2:$C$6,2,FALSE())</f>
        <v>Meccanica Bassi S.r.l.</v>
      </c>
      <c r="F412" s="0" t="n">
        <v>59</v>
      </c>
      <c r="G412" s="0" t="n">
        <v>23</v>
      </c>
      <c r="H412" s="0" t="str">
        <f aca="false">IF(F412&lt;G412,"SI","NO")</f>
        <v>NO</v>
      </c>
    </row>
    <row r="413" customFormat="false" ht="15" hidden="false" customHeight="false" outlineLevel="0" collapsed="false">
      <c r="A413" s="0" t="s">
        <v>1178</v>
      </c>
      <c r="B413" s="0" t="s">
        <v>1179</v>
      </c>
      <c r="C413" s="0" t="s">
        <v>87</v>
      </c>
      <c r="D413" s="2" t="s">
        <v>15</v>
      </c>
      <c r="E413" s="0" t="str">
        <f aca="false">VLOOKUP(D413,Fornitori!$A$2:$C$6,2,FALSE())</f>
        <v>Rulmeca Italia</v>
      </c>
      <c r="F413" s="0" t="n">
        <v>28</v>
      </c>
      <c r="G413" s="0" t="n">
        <v>24</v>
      </c>
      <c r="H413" s="0" t="str">
        <f aca="false">IF(F413&lt;G413,"SI","NO")</f>
        <v>NO</v>
      </c>
    </row>
    <row r="414" customFormat="false" ht="15" hidden="false" customHeight="false" outlineLevel="0" collapsed="false">
      <c r="A414" s="0" t="s">
        <v>1180</v>
      </c>
      <c r="B414" s="0" t="s">
        <v>1181</v>
      </c>
      <c r="C414" s="0" t="s">
        <v>1182</v>
      </c>
      <c r="D414" s="2" t="s">
        <v>19</v>
      </c>
      <c r="E414" s="0" t="str">
        <f aca="false">VLOOKUP(D414,Fornitori!$A$2:$C$6,2,FALSE())</f>
        <v>Elettrotecnica Ferri</v>
      </c>
      <c r="F414" s="0" t="n">
        <v>20</v>
      </c>
      <c r="G414" s="0" t="n">
        <v>16</v>
      </c>
      <c r="H414" s="0" t="str">
        <f aca="false">IF(F414&lt;G414,"SI","NO")</f>
        <v>NO</v>
      </c>
    </row>
    <row r="415" customFormat="false" ht="15" hidden="false" customHeight="false" outlineLevel="0" collapsed="false">
      <c r="A415" s="0" t="s">
        <v>1183</v>
      </c>
      <c r="B415" s="0" t="s">
        <v>1184</v>
      </c>
      <c r="C415" s="0" t="s">
        <v>1185</v>
      </c>
      <c r="D415" s="2" t="s">
        <v>23</v>
      </c>
      <c r="E415" s="0" t="str">
        <f aca="false">VLOOKUP(D415,Fornitori!$A$2:$C$6,2,FALSE())</f>
        <v>Pneumax Service</v>
      </c>
      <c r="F415" s="0" t="n">
        <v>57</v>
      </c>
      <c r="G415" s="0" t="n">
        <v>14</v>
      </c>
      <c r="H415" s="0" t="str">
        <f aca="false">IF(F415&lt;G415,"SI","NO")</f>
        <v>NO</v>
      </c>
    </row>
    <row r="416" customFormat="false" ht="15" hidden="false" customHeight="false" outlineLevel="0" collapsed="false">
      <c r="A416" s="0" t="s">
        <v>1186</v>
      </c>
      <c r="B416" s="0" t="s">
        <v>1187</v>
      </c>
      <c r="C416" s="0" t="s">
        <v>1188</v>
      </c>
      <c r="D416" s="2" t="s">
        <v>27</v>
      </c>
      <c r="E416" s="0" t="str">
        <f aca="false">VLOOKUP(D416,Fornitori!$A$2:$C$6,2,FALSE())</f>
        <v>Guarnizioni Alpi</v>
      </c>
      <c r="F416" s="0" t="n">
        <v>33</v>
      </c>
      <c r="G416" s="0" t="n">
        <v>14</v>
      </c>
      <c r="H416" s="0" t="str">
        <f aca="false">IF(F416&lt;G416,"SI","NO")</f>
        <v>NO</v>
      </c>
    </row>
    <row r="417" customFormat="false" ht="15" hidden="false" customHeight="false" outlineLevel="0" collapsed="false">
      <c r="A417" s="0" t="s">
        <v>1189</v>
      </c>
      <c r="B417" s="0" t="s">
        <v>1190</v>
      </c>
      <c r="C417" s="0" t="s">
        <v>724</v>
      </c>
      <c r="D417" s="2" t="s">
        <v>11</v>
      </c>
      <c r="E417" s="0" t="str">
        <f aca="false">VLOOKUP(D417,Fornitori!$A$2:$C$6,2,FALSE())</f>
        <v>Meccanica Bassi S.r.l.</v>
      </c>
      <c r="F417" s="0" t="n">
        <v>3</v>
      </c>
      <c r="G417" s="0" t="n">
        <v>23</v>
      </c>
      <c r="H417" s="0" t="str">
        <f aca="false">IF(F417&lt;G417,"SI","NO")</f>
        <v>SI</v>
      </c>
    </row>
    <row r="418" customFormat="false" ht="15" hidden="false" customHeight="false" outlineLevel="0" collapsed="false">
      <c r="A418" s="0" t="s">
        <v>1191</v>
      </c>
      <c r="B418" s="0" t="s">
        <v>1192</v>
      </c>
      <c r="C418" s="0" t="s">
        <v>1193</v>
      </c>
      <c r="D418" s="2" t="s">
        <v>15</v>
      </c>
      <c r="E418" s="0" t="str">
        <f aca="false">VLOOKUP(D418,Fornitori!$A$2:$C$6,2,FALSE())</f>
        <v>Rulmeca Italia</v>
      </c>
      <c r="F418" s="0" t="n">
        <v>0</v>
      </c>
      <c r="G418" s="0" t="n">
        <v>5</v>
      </c>
      <c r="H418" s="0" t="str">
        <f aca="false">IF(F418&lt;G418,"SI","NO")</f>
        <v>SI</v>
      </c>
    </row>
    <row r="419" customFormat="false" ht="15" hidden="false" customHeight="false" outlineLevel="0" collapsed="false">
      <c r="A419" s="0" t="s">
        <v>1194</v>
      </c>
      <c r="B419" s="0" t="s">
        <v>474</v>
      </c>
      <c r="C419" s="0" t="s">
        <v>1195</v>
      </c>
      <c r="D419" s="2" t="s">
        <v>19</v>
      </c>
      <c r="E419" s="0" t="str">
        <f aca="false">VLOOKUP(D419,Fornitori!$A$2:$C$6,2,FALSE())</f>
        <v>Elettrotecnica Ferri</v>
      </c>
      <c r="F419" s="0" t="n">
        <v>53</v>
      </c>
      <c r="G419" s="0" t="n">
        <v>8</v>
      </c>
      <c r="H419" s="0" t="str">
        <f aca="false">IF(F419&lt;G419,"SI","NO")</f>
        <v>NO</v>
      </c>
    </row>
    <row r="420" customFormat="false" ht="15" hidden="false" customHeight="false" outlineLevel="0" collapsed="false">
      <c r="A420" s="0" t="s">
        <v>1196</v>
      </c>
      <c r="B420" s="0" t="s">
        <v>1197</v>
      </c>
      <c r="C420" s="0" t="s">
        <v>1198</v>
      </c>
      <c r="D420" s="2" t="s">
        <v>23</v>
      </c>
      <c r="E420" s="0" t="str">
        <f aca="false">VLOOKUP(D420,Fornitori!$A$2:$C$6,2,FALSE())</f>
        <v>Pneumax Service</v>
      </c>
      <c r="F420" s="0" t="n">
        <v>31</v>
      </c>
      <c r="G420" s="0" t="n">
        <v>22</v>
      </c>
      <c r="H420" s="0" t="str">
        <f aca="false">IF(F420&lt;G420,"SI","NO")</f>
        <v>NO</v>
      </c>
    </row>
    <row r="421" customFormat="false" ht="15" hidden="false" customHeight="false" outlineLevel="0" collapsed="false">
      <c r="A421" s="0" t="s">
        <v>1199</v>
      </c>
      <c r="B421" s="0" t="s">
        <v>1200</v>
      </c>
      <c r="C421" s="0" t="s">
        <v>1201</v>
      </c>
      <c r="D421" s="2" t="s">
        <v>27</v>
      </c>
      <c r="E421" s="0" t="str">
        <f aca="false">VLOOKUP(D421,Fornitori!$A$2:$C$6,2,FALSE())</f>
        <v>Guarnizioni Alpi</v>
      </c>
      <c r="F421" s="0" t="n">
        <v>26</v>
      </c>
      <c r="G421" s="0" t="n">
        <v>24</v>
      </c>
      <c r="H421" s="0" t="str">
        <f aca="false">IF(F421&lt;G421,"SI","NO")</f>
        <v>NO</v>
      </c>
    </row>
    <row r="422" customFormat="false" ht="15" hidden="false" customHeight="false" outlineLevel="0" collapsed="false">
      <c r="A422" s="0" t="s">
        <v>1202</v>
      </c>
      <c r="B422" s="0" t="s">
        <v>763</v>
      </c>
      <c r="C422" s="0" t="s">
        <v>278</v>
      </c>
      <c r="D422" s="2" t="s">
        <v>11</v>
      </c>
      <c r="E422" s="0" t="str">
        <f aca="false">VLOOKUP(D422,Fornitori!$A$2:$C$6,2,FALSE())</f>
        <v>Meccanica Bassi S.r.l.</v>
      </c>
      <c r="F422" s="0" t="n">
        <v>32</v>
      </c>
      <c r="G422" s="0" t="n">
        <v>8</v>
      </c>
      <c r="H422" s="0" t="str">
        <f aca="false">IF(F422&lt;G422,"SI","NO")</f>
        <v>NO</v>
      </c>
    </row>
    <row r="423" customFormat="false" ht="15" hidden="false" customHeight="false" outlineLevel="0" collapsed="false">
      <c r="A423" s="0" t="s">
        <v>1203</v>
      </c>
      <c r="B423" s="0" t="s">
        <v>989</v>
      </c>
      <c r="C423" s="0" t="s">
        <v>1022</v>
      </c>
      <c r="D423" s="2" t="s">
        <v>15</v>
      </c>
      <c r="E423" s="0" t="str">
        <f aca="false">VLOOKUP(D423,Fornitori!$A$2:$C$6,2,FALSE())</f>
        <v>Rulmeca Italia</v>
      </c>
      <c r="F423" s="0" t="n">
        <v>31</v>
      </c>
      <c r="G423" s="0" t="n">
        <v>19</v>
      </c>
      <c r="H423" s="0" t="str">
        <f aca="false">IF(F423&lt;G423,"SI","NO")</f>
        <v>NO</v>
      </c>
    </row>
    <row r="424" customFormat="false" ht="15" hidden="false" customHeight="false" outlineLevel="0" collapsed="false">
      <c r="A424" s="0" t="s">
        <v>1204</v>
      </c>
      <c r="B424" s="0" t="s">
        <v>1050</v>
      </c>
      <c r="C424" s="0" t="s">
        <v>466</v>
      </c>
      <c r="D424" s="2" t="s">
        <v>19</v>
      </c>
      <c r="E424" s="0" t="str">
        <f aca="false">VLOOKUP(D424,Fornitori!$A$2:$C$6,2,FALSE())</f>
        <v>Elettrotecnica Ferri</v>
      </c>
      <c r="F424" s="0" t="n">
        <v>37</v>
      </c>
      <c r="G424" s="0" t="n">
        <v>15</v>
      </c>
      <c r="H424" s="0" t="str">
        <f aca="false">IF(F424&lt;G424,"SI","NO")</f>
        <v>NO</v>
      </c>
    </row>
    <row r="425" customFormat="false" ht="15" hidden="false" customHeight="false" outlineLevel="0" collapsed="false">
      <c r="A425" s="0" t="s">
        <v>1205</v>
      </c>
      <c r="B425" s="0" t="s">
        <v>1206</v>
      </c>
      <c r="C425" s="0" t="s">
        <v>1207</v>
      </c>
      <c r="D425" s="2" t="s">
        <v>23</v>
      </c>
      <c r="E425" s="0" t="str">
        <f aca="false">VLOOKUP(D425,Fornitori!$A$2:$C$6,2,FALSE())</f>
        <v>Pneumax Service</v>
      </c>
      <c r="F425" s="0" t="n">
        <v>2</v>
      </c>
      <c r="G425" s="0" t="n">
        <v>13</v>
      </c>
      <c r="H425" s="0" t="str">
        <f aca="false">IF(F425&lt;G425,"SI","NO")</f>
        <v>SI</v>
      </c>
    </row>
    <row r="426" customFormat="false" ht="15" hidden="false" customHeight="false" outlineLevel="0" collapsed="false">
      <c r="A426" s="0" t="s">
        <v>1208</v>
      </c>
      <c r="B426" s="0" t="s">
        <v>1209</v>
      </c>
      <c r="C426" s="0" t="s">
        <v>1210</v>
      </c>
      <c r="D426" s="2" t="s">
        <v>27</v>
      </c>
      <c r="E426" s="0" t="str">
        <f aca="false">VLOOKUP(D426,Fornitori!$A$2:$C$6,2,FALSE())</f>
        <v>Guarnizioni Alpi</v>
      </c>
      <c r="F426" s="0" t="n">
        <v>28</v>
      </c>
      <c r="G426" s="0" t="n">
        <v>24</v>
      </c>
      <c r="H426" s="0" t="str">
        <f aca="false">IF(F426&lt;G426,"SI","NO")</f>
        <v>NO</v>
      </c>
    </row>
    <row r="427" customFormat="false" ht="15" hidden="false" customHeight="false" outlineLevel="0" collapsed="false">
      <c r="A427" s="0" t="s">
        <v>1211</v>
      </c>
      <c r="B427" s="0" t="s">
        <v>1212</v>
      </c>
      <c r="C427" s="0" t="s">
        <v>1213</v>
      </c>
      <c r="D427" s="2" t="s">
        <v>11</v>
      </c>
      <c r="E427" s="0" t="str">
        <f aca="false">VLOOKUP(D427,Fornitori!$A$2:$C$6,2,FALSE())</f>
        <v>Meccanica Bassi S.r.l.</v>
      </c>
      <c r="F427" s="0" t="n">
        <v>25</v>
      </c>
      <c r="G427" s="0" t="n">
        <v>23</v>
      </c>
      <c r="H427" s="0" t="str">
        <f aca="false">IF(F427&lt;G427,"SI","NO")</f>
        <v>NO</v>
      </c>
    </row>
    <row r="428" customFormat="false" ht="15" hidden="false" customHeight="false" outlineLevel="0" collapsed="false">
      <c r="A428" s="0" t="s">
        <v>1214</v>
      </c>
      <c r="B428" s="0" t="s">
        <v>1215</v>
      </c>
      <c r="C428" s="0" t="s">
        <v>1216</v>
      </c>
      <c r="D428" s="2" t="s">
        <v>15</v>
      </c>
      <c r="E428" s="0" t="str">
        <f aca="false">VLOOKUP(D428,Fornitori!$A$2:$C$6,2,FALSE())</f>
        <v>Rulmeca Italia</v>
      </c>
      <c r="F428" s="0" t="n">
        <v>15</v>
      </c>
      <c r="G428" s="0" t="n">
        <v>12</v>
      </c>
      <c r="H428" s="0" t="str">
        <f aca="false">IF(F428&lt;G428,"SI","NO")</f>
        <v>NO</v>
      </c>
    </row>
    <row r="429" customFormat="false" ht="15" hidden="false" customHeight="false" outlineLevel="0" collapsed="false">
      <c r="A429" s="0" t="s">
        <v>1217</v>
      </c>
      <c r="B429" s="0" t="s">
        <v>1218</v>
      </c>
      <c r="C429" s="0" t="s">
        <v>1219</v>
      </c>
      <c r="D429" s="2" t="s">
        <v>19</v>
      </c>
      <c r="E429" s="0" t="str">
        <f aca="false">VLOOKUP(D429,Fornitori!$A$2:$C$6,2,FALSE())</f>
        <v>Elettrotecnica Ferri</v>
      </c>
      <c r="F429" s="0" t="n">
        <v>57</v>
      </c>
      <c r="G429" s="0" t="n">
        <v>19</v>
      </c>
      <c r="H429" s="0" t="str">
        <f aca="false">IF(F429&lt;G429,"SI","NO")</f>
        <v>NO</v>
      </c>
    </row>
    <row r="430" customFormat="false" ht="15" hidden="false" customHeight="false" outlineLevel="0" collapsed="false">
      <c r="A430" s="0" t="s">
        <v>1220</v>
      </c>
      <c r="B430" s="0" t="s">
        <v>537</v>
      </c>
      <c r="C430" s="0" t="s">
        <v>449</v>
      </c>
      <c r="D430" s="2" t="s">
        <v>23</v>
      </c>
      <c r="E430" s="0" t="str">
        <f aca="false">VLOOKUP(D430,Fornitori!$A$2:$C$6,2,FALSE())</f>
        <v>Pneumax Service</v>
      </c>
      <c r="F430" s="0" t="n">
        <v>15</v>
      </c>
      <c r="G430" s="0" t="n">
        <v>17</v>
      </c>
      <c r="H430" s="0" t="str">
        <f aca="false">IF(F430&lt;G430,"SI","NO")</f>
        <v>SI</v>
      </c>
    </row>
    <row r="431" customFormat="false" ht="15" hidden="false" customHeight="false" outlineLevel="0" collapsed="false">
      <c r="A431" s="0" t="s">
        <v>1221</v>
      </c>
      <c r="B431" s="0" t="s">
        <v>480</v>
      </c>
      <c r="C431" s="0" t="s">
        <v>1222</v>
      </c>
      <c r="D431" s="2" t="s">
        <v>27</v>
      </c>
      <c r="E431" s="0" t="str">
        <f aca="false">VLOOKUP(D431,Fornitori!$A$2:$C$6,2,FALSE())</f>
        <v>Guarnizioni Alpi</v>
      </c>
      <c r="F431" s="0" t="n">
        <v>45</v>
      </c>
      <c r="G431" s="0" t="n">
        <v>20</v>
      </c>
      <c r="H431" s="0" t="str">
        <f aca="false">IF(F431&lt;G431,"SI","NO")</f>
        <v>NO</v>
      </c>
    </row>
    <row r="432" customFormat="false" ht="15" hidden="false" customHeight="false" outlineLevel="0" collapsed="false">
      <c r="A432" s="0" t="s">
        <v>1223</v>
      </c>
      <c r="B432" s="0" t="s">
        <v>1125</v>
      </c>
      <c r="C432" s="0" t="s">
        <v>1224</v>
      </c>
      <c r="D432" s="2" t="s">
        <v>11</v>
      </c>
      <c r="E432" s="0" t="str">
        <f aca="false">VLOOKUP(D432,Fornitori!$A$2:$C$6,2,FALSE())</f>
        <v>Meccanica Bassi S.r.l.</v>
      </c>
      <c r="F432" s="0" t="n">
        <v>22</v>
      </c>
      <c r="G432" s="0" t="n">
        <v>17</v>
      </c>
      <c r="H432" s="0" t="str">
        <f aca="false">IF(F432&lt;G432,"SI","NO")</f>
        <v>NO</v>
      </c>
    </row>
    <row r="433" customFormat="false" ht="15" hidden="false" customHeight="false" outlineLevel="0" collapsed="false">
      <c r="A433" s="0" t="s">
        <v>1225</v>
      </c>
      <c r="B433" s="0" t="s">
        <v>1226</v>
      </c>
      <c r="C433" s="0" t="s">
        <v>1227</v>
      </c>
      <c r="D433" s="2" t="s">
        <v>15</v>
      </c>
      <c r="E433" s="0" t="str">
        <f aca="false">VLOOKUP(D433,Fornitori!$A$2:$C$6,2,FALSE())</f>
        <v>Rulmeca Italia</v>
      </c>
      <c r="F433" s="0" t="n">
        <v>23</v>
      </c>
      <c r="G433" s="0" t="n">
        <v>8</v>
      </c>
      <c r="H433" s="0" t="str">
        <f aca="false">IF(F433&lt;G433,"SI","NO")</f>
        <v>NO</v>
      </c>
    </row>
    <row r="434" customFormat="false" ht="15" hidden="false" customHeight="false" outlineLevel="0" collapsed="false">
      <c r="A434" s="0" t="s">
        <v>1228</v>
      </c>
      <c r="B434" s="0" t="s">
        <v>1229</v>
      </c>
      <c r="C434" s="0" t="s">
        <v>1230</v>
      </c>
      <c r="D434" s="2" t="s">
        <v>19</v>
      </c>
      <c r="E434" s="0" t="str">
        <f aca="false">VLOOKUP(D434,Fornitori!$A$2:$C$6,2,FALSE())</f>
        <v>Elettrotecnica Ferri</v>
      </c>
      <c r="F434" s="0" t="n">
        <v>41</v>
      </c>
      <c r="G434" s="0" t="n">
        <v>7</v>
      </c>
      <c r="H434" s="0" t="str">
        <f aca="false">IF(F434&lt;G434,"SI","NO")</f>
        <v>NO</v>
      </c>
    </row>
    <row r="435" customFormat="false" ht="15" hidden="false" customHeight="false" outlineLevel="0" collapsed="false">
      <c r="A435" s="0" t="s">
        <v>1231</v>
      </c>
      <c r="B435" s="0" t="s">
        <v>1232</v>
      </c>
      <c r="C435" s="0" t="s">
        <v>632</v>
      </c>
      <c r="D435" s="2" t="s">
        <v>23</v>
      </c>
      <c r="E435" s="0" t="str">
        <f aca="false">VLOOKUP(D435,Fornitori!$A$2:$C$6,2,FALSE())</f>
        <v>Pneumax Service</v>
      </c>
      <c r="F435" s="0" t="n">
        <v>24</v>
      </c>
      <c r="G435" s="0" t="n">
        <v>11</v>
      </c>
      <c r="H435" s="0" t="str">
        <f aca="false">IF(F435&lt;G435,"SI","NO")</f>
        <v>NO</v>
      </c>
    </row>
    <row r="436" customFormat="false" ht="15" hidden="false" customHeight="false" outlineLevel="0" collapsed="false">
      <c r="A436" s="0" t="s">
        <v>1233</v>
      </c>
      <c r="B436" s="0" t="s">
        <v>1234</v>
      </c>
      <c r="C436" s="0" t="s">
        <v>1235</v>
      </c>
      <c r="D436" s="2" t="s">
        <v>27</v>
      </c>
      <c r="E436" s="0" t="str">
        <f aca="false">VLOOKUP(D436,Fornitori!$A$2:$C$6,2,FALSE())</f>
        <v>Guarnizioni Alpi</v>
      </c>
      <c r="F436" s="0" t="n">
        <v>2</v>
      </c>
      <c r="G436" s="0" t="n">
        <v>13</v>
      </c>
      <c r="H436" s="0" t="str">
        <f aca="false">IF(F436&lt;G436,"SI","NO")</f>
        <v>SI</v>
      </c>
    </row>
    <row r="437" customFormat="false" ht="15" hidden="false" customHeight="false" outlineLevel="0" collapsed="false">
      <c r="A437" s="0" t="s">
        <v>1236</v>
      </c>
      <c r="B437" s="0" t="s">
        <v>1237</v>
      </c>
      <c r="C437" s="0" t="s">
        <v>1238</v>
      </c>
      <c r="D437" s="2" t="s">
        <v>11</v>
      </c>
      <c r="E437" s="0" t="str">
        <f aca="false">VLOOKUP(D437,Fornitori!$A$2:$C$6,2,FALSE())</f>
        <v>Meccanica Bassi S.r.l.</v>
      </c>
      <c r="F437" s="0" t="n">
        <v>8</v>
      </c>
      <c r="G437" s="0" t="n">
        <v>7</v>
      </c>
      <c r="H437" s="0" t="str">
        <f aca="false">IF(F437&lt;G437,"SI","NO")</f>
        <v>NO</v>
      </c>
    </row>
    <row r="438" customFormat="false" ht="15" hidden="false" customHeight="false" outlineLevel="0" collapsed="false">
      <c r="A438" s="0" t="s">
        <v>1239</v>
      </c>
      <c r="B438" s="0" t="s">
        <v>1240</v>
      </c>
      <c r="C438" s="0" t="s">
        <v>1241</v>
      </c>
      <c r="D438" s="2" t="s">
        <v>15</v>
      </c>
      <c r="E438" s="0" t="str">
        <f aca="false">VLOOKUP(D438,Fornitori!$A$2:$C$6,2,FALSE())</f>
        <v>Rulmeca Italia</v>
      </c>
      <c r="F438" s="0" t="n">
        <v>29</v>
      </c>
      <c r="G438" s="0" t="n">
        <v>12</v>
      </c>
      <c r="H438" s="0" t="str">
        <f aca="false">IF(F438&lt;G438,"SI","NO")</f>
        <v>NO</v>
      </c>
    </row>
    <row r="439" customFormat="false" ht="15" hidden="false" customHeight="false" outlineLevel="0" collapsed="false">
      <c r="A439" s="0" t="s">
        <v>1242</v>
      </c>
      <c r="B439" s="0" t="s">
        <v>1243</v>
      </c>
      <c r="C439" s="0" t="s">
        <v>1244</v>
      </c>
      <c r="D439" s="2" t="s">
        <v>19</v>
      </c>
      <c r="E439" s="0" t="str">
        <f aca="false">VLOOKUP(D439,Fornitori!$A$2:$C$6,2,FALSE())</f>
        <v>Elettrotecnica Ferri</v>
      </c>
      <c r="F439" s="0" t="n">
        <v>25</v>
      </c>
      <c r="G439" s="0" t="n">
        <v>17</v>
      </c>
      <c r="H439" s="0" t="str">
        <f aca="false">IF(F439&lt;G439,"SI","NO")</f>
        <v>NO</v>
      </c>
    </row>
    <row r="440" customFormat="false" ht="15" hidden="false" customHeight="false" outlineLevel="0" collapsed="false">
      <c r="A440" s="0" t="s">
        <v>1245</v>
      </c>
      <c r="B440" s="0" t="s">
        <v>1246</v>
      </c>
      <c r="C440" s="0" t="s">
        <v>1247</v>
      </c>
      <c r="D440" s="2" t="s">
        <v>23</v>
      </c>
      <c r="E440" s="0" t="str">
        <f aca="false">VLOOKUP(D440,Fornitori!$A$2:$C$6,2,FALSE())</f>
        <v>Pneumax Service</v>
      </c>
      <c r="F440" s="0" t="n">
        <v>14</v>
      </c>
      <c r="G440" s="0" t="n">
        <v>19</v>
      </c>
      <c r="H440" s="0" t="str">
        <f aca="false">IF(F440&lt;G440,"SI","NO")</f>
        <v>SI</v>
      </c>
    </row>
    <row r="441" customFormat="false" ht="15" hidden="false" customHeight="false" outlineLevel="0" collapsed="false">
      <c r="A441" s="0" t="s">
        <v>1248</v>
      </c>
      <c r="B441" s="0" t="s">
        <v>1249</v>
      </c>
      <c r="C441" s="0" t="s">
        <v>1250</v>
      </c>
      <c r="D441" s="2" t="s">
        <v>27</v>
      </c>
      <c r="E441" s="0" t="str">
        <f aca="false">VLOOKUP(D441,Fornitori!$A$2:$C$6,2,FALSE())</f>
        <v>Guarnizioni Alpi</v>
      </c>
      <c r="F441" s="0" t="n">
        <v>34</v>
      </c>
      <c r="G441" s="0" t="n">
        <v>12</v>
      </c>
      <c r="H441" s="0" t="str">
        <f aca="false">IF(F441&lt;G441,"SI","NO")</f>
        <v>NO</v>
      </c>
    </row>
    <row r="442" customFormat="false" ht="15" hidden="false" customHeight="false" outlineLevel="0" collapsed="false">
      <c r="A442" s="0" t="s">
        <v>1251</v>
      </c>
      <c r="B442" s="0" t="s">
        <v>513</v>
      </c>
      <c r="C442" s="0" t="s">
        <v>1252</v>
      </c>
      <c r="D442" s="2" t="s">
        <v>11</v>
      </c>
      <c r="E442" s="0" t="str">
        <f aca="false">VLOOKUP(D442,Fornitori!$A$2:$C$6,2,FALSE())</f>
        <v>Meccanica Bassi S.r.l.</v>
      </c>
      <c r="F442" s="0" t="n">
        <v>48</v>
      </c>
      <c r="G442" s="0" t="n">
        <v>8</v>
      </c>
      <c r="H442" s="0" t="str">
        <f aca="false">IF(F442&lt;G442,"SI","NO")</f>
        <v>NO</v>
      </c>
    </row>
    <row r="443" customFormat="false" ht="15" hidden="false" customHeight="false" outlineLevel="0" collapsed="false">
      <c r="A443" s="0" t="s">
        <v>1253</v>
      </c>
      <c r="B443" s="0" t="s">
        <v>1254</v>
      </c>
      <c r="C443" s="0" t="s">
        <v>1255</v>
      </c>
      <c r="D443" s="2" t="s">
        <v>15</v>
      </c>
      <c r="E443" s="0" t="str">
        <f aca="false">VLOOKUP(D443,Fornitori!$A$2:$C$6,2,FALSE())</f>
        <v>Rulmeca Italia</v>
      </c>
      <c r="F443" s="0" t="n">
        <v>48</v>
      </c>
      <c r="G443" s="0" t="n">
        <v>17</v>
      </c>
      <c r="H443" s="0" t="str">
        <f aca="false">IF(F443&lt;G443,"SI","NO")</f>
        <v>NO</v>
      </c>
    </row>
    <row r="444" customFormat="false" ht="15" hidden="false" customHeight="false" outlineLevel="0" collapsed="false">
      <c r="A444" s="0" t="s">
        <v>1256</v>
      </c>
      <c r="B444" s="0" t="s">
        <v>1257</v>
      </c>
      <c r="C444" s="0" t="s">
        <v>1219</v>
      </c>
      <c r="D444" s="2" t="s">
        <v>19</v>
      </c>
      <c r="E444" s="0" t="str">
        <f aca="false">VLOOKUP(D444,Fornitori!$A$2:$C$6,2,FALSE())</f>
        <v>Elettrotecnica Ferri</v>
      </c>
      <c r="F444" s="0" t="n">
        <v>24</v>
      </c>
      <c r="G444" s="0" t="n">
        <v>7</v>
      </c>
      <c r="H444" s="0" t="str">
        <f aca="false">IF(F444&lt;G444,"SI","NO")</f>
        <v>NO</v>
      </c>
    </row>
    <row r="445" customFormat="false" ht="15" hidden="false" customHeight="false" outlineLevel="0" collapsed="false">
      <c r="A445" s="0" t="s">
        <v>1258</v>
      </c>
      <c r="B445" s="0" t="s">
        <v>1259</v>
      </c>
      <c r="C445" s="0" t="s">
        <v>1142</v>
      </c>
      <c r="D445" s="2" t="s">
        <v>23</v>
      </c>
      <c r="E445" s="0" t="str">
        <f aca="false">VLOOKUP(D445,Fornitori!$A$2:$C$6,2,FALSE())</f>
        <v>Pneumax Service</v>
      </c>
      <c r="F445" s="0" t="n">
        <v>57</v>
      </c>
      <c r="G445" s="0" t="n">
        <v>8</v>
      </c>
      <c r="H445" s="0" t="str">
        <f aca="false">IF(F445&lt;G445,"SI","NO")</f>
        <v>NO</v>
      </c>
    </row>
    <row r="446" customFormat="false" ht="15" hidden="false" customHeight="false" outlineLevel="0" collapsed="false">
      <c r="A446" s="0" t="s">
        <v>1260</v>
      </c>
      <c r="B446" s="0" t="s">
        <v>1261</v>
      </c>
      <c r="C446" s="0" t="s">
        <v>1262</v>
      </c>
      <c r="D446" s="2" t="s">
        <v>27</v>
      </c>
      <c r="E446" s="0" t="str">
        <f aca="false">VLOOKUP(D446,Fornitori!$A$2:$C$6,2,FALSE())</f>
        <v>Guarnizioni Alpi</v>
      </c>
      <c r="F446" s="0" t="n">
        <v>19</v>
      </c>
      <c r="G446" s="0" t="n">
        <v>11</v>
      </c>
      <c r="H446" s="0" t="str">
        <f aca="false">IF(F446&lt;G446,"SI","NO")</f>
        <v>NO</v>
      </c>
    </row>
    <row r="447" customFormat="false" ht="15" hidden="false" customHeight="false" outlineLevel="0" collapsed="false">
      <c r="A447" s="0" t="s">
        <v>1263</v>
      </c>
      <c r="B447" s="0" t="s">
        <v>59</v>
      </c>
      <c r="C447" s="0" t="s">
        <v>1264</v>
      </c>
      <c r="D447" s="2" t="s">
        <v>11</v>
      </c>
      <c r="E447" s="0" t="str">
        <f aca="false">VLOOKUP(D447,Fornitori!$A$2:$C$6,2,FALSE())</f>
        <v>Meccanica Bassi S.r.l.</v>
      </c>
      <c r="F447" s="0" t="n">
        <v>8</v>
      </c>
      <c r="G447" s="0" t="n">
        <v>17</v>
      </c>
      <c r="H447" s="0" t="str">
        <f aca="false">IF(F447&lt;G447,"SI","NO")</f>
        <v>SI</v>
      </c>
    </row>
    <row r="448" customFormat="false" ht="15" hidden="false" customHeight="false" outlineLevel="0" collapsed="false">
      <c r="A448" s="0" t="s">
        <v>1265</v>
      </c>
      <c r="B448" s="0" t="s">
        <v>1266</v>
      </c>
      <c r="C448" s="0" t="s">
        <v>1267</v>
      </c>
      <c r="D448" s="2" t="s">
        <v>15</v>
      </c>
      <c r="E448" s="0" t="str">
        <f aca="false">VLOOKUP(D448,Fornitori!$A$2:$C$6,2,FALSE())</f>
        <v>Rulmeca Italia</v>
      </c>
      <c r="F448" s="0" t="n">
        <v>40</v>
      </c>
      <c r="G448" s="0" t="n">
        <v>9</v>
      </c>
      <c r="H448" s="0" t="str">
        <f aca="false">IF(F448&lt;G448,"SI","NO")</f>
        <v>NO</v>
      </c>
    </row>
    <row r="449" customFormat="false" ht="15" hidden="false" customHeight="false" outlineLevel="0" collapsed="false">
      <c r="A449" s="0" t="s">
        <v>1268</v>
      </c>
      <c r="B449" s="0" t="s">
        <v>1269</v>
      </c>
      <c r="C449" s="0" t="s">
        <v>1270</v>
      </c>
      <c r="D449" s="2" t="s">
        <v>19</v>
      </c>
      <c r="E449" s="0" t="str">
        <f aca="false">VLOOKUP(D449,Fornitori!$A$2:$C$6,2,FALSE())</f>
        <v>Elettrotecnica Ferri</v>
      </c>
      <c r="F449" s="0" t="n">
        <v>51</v>
      </c>
      <c r="G449" s="0" t="n">
        <v>16</v>
      </c>
      <c r="H449" s="0" t="str">
        <f aca="false">IF(F449&lt;G449,"SI","NO")</f>
        <v>NO</v>
      </c>
    </row>
    <row r="450" customFormat="false" ht="15" hidden="false" customHeight="false" outlineLevel="0" collapsed="false">
      <c r="A450" s="0" t="s">
        <v>1271</v>
      </c>
      <c r="B450" s="0" t="s">
        <v>1272</v>
      </c>
      <c r="C450" s="0" t="s">
        <v>1273</v>
      </c>
      <c r="D450" s="2" t="s">
        <v>23</v>
      </c>
      <c r="E450" s="0" t="str">
        <f aca="false">VLOOKUP(D450,Fornitori!$A$2:$C$6,2,FALSE())</f>
        <v>Pneumax Service</v>
      </c>
      <c r="F450" s="0" t="n">
        <v>25</v>
      </c>
      <c r="G450" s="0" t="n">
        <v>16</v>
      </c>
      <c r="H450" s="0" t="str">
        <f aca="false">IF(F450&lt;G450,"SI","NO")</f>
        <v>NO</v>
      </c>
    </row>
    <row r="451" customFormat="false" ht="15" hidden="false" customHeight="false" outlineLevel="0" collapsed="false">
      <c r="A451" s="0" t="s">
        <v>1274</v>
      </c>
      <c r="B451" s="0" t="s">
        <v>1275</v>
      </c>
      <c r="C451" s="0" t="s">
        <v>1276</v>
      </c>
      <c r="D451" s="2" t="s">
        <v>27</v>
      </c>
      <c r="E451" s="0" t="str">
        <f aca="false">VLOOKUP(D451,Fornitori!$A$2:$C$6,2,FALSE())</f>
        <v>Guarnizioni Alpi</v>
      </c>
      <c r="F451" s="0" t="n">
        <v>58</v>
      </c>
      <c r="G451" s="0" t="n">
        <v>24</v>
      </c>
      <c r="H451" s="0" t="str">
        <f aca="false">IF(F451&lt;G451,"SI","NO")</f>
        <v>NO</v>
      </c>
    </row>
    <row r="452" customFormat="false" ht="15" hidden="false" customHeight="false" outlineLevel="0" collapsed="false">
      <c r="A452" s="0" t="s">
        <v>1277</v>
      </c>
      <c r="B452" s="0" t="s">
        <v>1278</v>
      </c>
      <c r="C452" s="0" t="s">
        <v>1279</v>
      </c>
      <c r="D452" s="2" t="s">
        <v>11</v>
      </c>
      <c r="E452" s="0" t="str">
        <f aca="false">VLOOKUP(D452,Fornitori!$A$2:$C$6,2,FALSE())</f>
        <v>Meccanica Bassi S.r.l.</v>
      </c>
      <c r="F452" s="0" t="n">
        <v>38</v>
      </c>
      <c r="G452" s="0" t="n">
        <v>10</v>
      </c>
      <c r="H452" s="0" t="str">
        <f aca="false">IF(F452&lt;G452,"SI","NO")</f>
        <v>NO</v>
      </c>
    </row>
    <row r="453" customFormat="false" ht="15" hidden="false" customHeight="false" outlineLevel="0" collapsed="false">
      <c r="A453" s="0" t="s">
        <v>1280</v>
      </c>
      <c r="B453" s="0" t="s">
        <v>136</v>
      </c>
      <c r="C453" s="0" t="s">
        <v>1281</v>
      </c>
      <c r="D453" s="2" t="s">
        <v>15</v>
      </c>
      <c r="E453" s="0" t="str">
        <f aca="false">VLOOKUP(D453,Fornitori!$A$2:$C$6,2,FALSE())</f>
        <v>Rulmeca Italia</v>
      </c>
      <c r="F453" s="0" t="n">
        <v>47</v>
      </c>
      <c r="G453" s="0" t="n">
        <v>6</v>
      </c>
      <c r="H453" s="0" t="str">
        <f aca="false">IF(F453&lt;G453,"SI","NO")</f>
        <v>NO</v>
      </c>
    </row>
    <row r="454" customFormat="false" ht="15" hidden="false" customHeight="false" outlineLevel="0" collapsed="false">
      <c r="A454" s="0" t="s">
        <v>1282</v>
      </c>
      <c r="B454" s="0" t="s">
        <v>1283</v>
      </c>
      <c r="C454" s="0" t="s">
        <v>934</v>
      </c>
      <c r="D454" s="2" t="s">
        <v>19</v>
      </c>
      <c r="E454" s="0" t="str">
        <f aca="false">VLOOKUP(D454,Fornitori!$A$2:$C$6,2,FALSE())</f>
        <v>Elettrotecnica Ferri</v>
      </c>
      <c r="F454" s="0" t="n">
        <v>14</v>
      </c>
      <c r="G454" s="0" t="n">
        <v>23</v>
      </c>
      <c r="H454" s="0" t="str">
        <f aca="false">IF(F454&lt;G454,"SI","NO")</f>
        <v>SI</v>
      </c>
    </row>
    <row r="455" customFormat="false" ht="15" hidden="false" customHeight="false" outlineLevel="0" collapsed="false">
      <c r="A455" s="0" t="s">
        <v>1284</v>
      </c>
      <c r="B455" s="0" t="s">
        <v>1285</v>
      </c>
      <c r="C455" s="0" t="s">
        <v>810</v>
      </c>
      <c r="D455" s="2" t="s">
        <v>23</v>
      </c>
      <c r="E455" s="0" t="str">
        <f aca="false">VLOOKUP(D455,Fornitori!$A$2:$C$6,2,FALSE())</f>
        <v>Pneumax Service</v>
      </c>
      <c r="F455" s="0" t="n">
        <v>43</v>
      </c>
      <c r="G455" s="0" t="n">
        <v>23</v>
      </c>
      <c r="H455" s="0" t="str">
        <f aca="false">IF(F455&lt;G455,"SI","NO")</f>
        <v>NO</v>
      </c>
    </row>
    <row r="456" customFormat="false" ht="15" hidden="false" customHeight="false" outlineLevel="0" collapsed="false">
      <c r="A456" s="0" t="s">
        <v>1286</v>
      </c>
      <c r="B456" s="0" t="s">
        <v>1287</v>
      </c>
      <c r="C456" s="0" t="s">
        <v>1288</v>
      </c>
      <c r="D456" s="2" t="s">
        <v>27</v>
      </c>
      <c r="E456" s="0" t="str">
        <f aca="false">VLOOKUP(D456,Fornitori!$A$2:$C$6,2,FALSE())</f>
        <v>Guarnizioni Alpi</v>
      </c>
      <c r="F456" s="0" t="n">
        <v>57</v>
      </c>
      <c r="G456" s="0" t="n">
        <v>6</v>
      </c>
      <c r="H456" s="0" t="str">
        <f aca="false">IF(F456&lt;G456,"SI","NO")</f>
        <v>NO</v>
      </c>
    </row>
    <row r="457" customFormat="false" ht="15" hidden="false" customHeight="false" outlineLevel="0" collapsed="false">
      <c r="A457" s="0" t="s">
        <v>1289</v>
      </c>
      <c r="B457" s="0" t="s">
        <v>1290</v>
      </c>
      <c r="C457" s="0" t="s">
        <v>1291</v>
      </c>
      <c r="D457" s="2" t="s">
        <v>11</v>
      </c>
      <c r="E457" s="0" t="str">
        <f aca="false">VLOOKUP(D457,Fornitori!$A$2:$C$6,2,FALSE())</f>
        <v>Meccanica Bassi S.r.l.</v>
      </c>
      <c r="F457" s="0" t="n">
        <v>20</v>
      </c>
      <c r="G457" s="0" t="n">
        <v>11</v>
      </c>
      <c r="H457" s="0" t="str">
        <f aca="false">IF(F457&lt;G457,"SI","NO")</f>
        <v>NO</v>
      </c>
    </row>
    <row r="458" customFormat="false" ht="15" hidden="false" customHeight="false" outlineLevel="0" collapsed="false">
      <c r="A458" s="0" t="s">
        <v>1292</v>
      </c>
      <c r="B458" s="0" t="s">
        <v>1293</v>
      </c>
      <c r="C458" s="0" t="s">
        <v>1294</v>
      </c>
      <c r="D458" s="2" t="s">
        <v>15</v>
      </c>
      <c r="E458" s="0" t="str">
        <f aca="false">VLOOKUP(D458,Fornitori!$A$2:$C$6,2,FALSE())</f>
        <v>Rulmeca Italia</v>
      </c>
      <c r="F458" s="0" t="n">
        <v>25</v>
      </c>
      <c r="G458" s="0" t="n">
        <v>24</v>
      </c>
      <c r="H458" s="0" t="str">
        <f aca="false">IF(F458&lt;G458,"SI","NO")</f>
        <v>NO</v>
      </c>
    </row>
    <row r="459" customFormat="false" ht="15" hidden="false" customHeight="false" outlineLevel="0" collapsed="false">
      <c r="A459" s="0" t="s">
        <v>1295</v>
      </c>
      <c r="B459" s="0" t="s">
        <v>1296</v>
      </c>
      <c r="C459" s="0" t="s">
        <v>1297</v>
      </c>
      <c r="D459" s="2" t="s">
        <v>19</v>
      </c>
      <c r="E459" s="0" t="str">
        <f aca="false">VLOOKUP(D459,Fornitori!$A$2:$C$6,2,FALSE())</f>
        <v>Elettrotecnica Ferri</v>
      </c>
      <c r="F459" s="0" t="n">
        <v>28</v>
      </c>
      <c r="G459" s="0" t="n">
        <v>15</v>
      </c>
      <c r="H459" s="0" t="str">
        <f aca="false">IF(F459&lt;G459,"SI","NO")</f>
        <v>NO</v>
      </c>
    </row>
    <row r="460" customFormat="false" ht="15" hidden="false" customHeight="false" outlineLevel="0" collapsed="false">
      <c r="A460" s="0" t="s">
        <v>1298</v>
      </c>
      <c r="B460" s="0" t="s">
        <v>1299</v>
      </c>
      <c r="C460" s="0" t="s">
        <v>1300</v>
      </c>
      <c r="D460" s="2" t="s">
        <v>23</v>
      </c>
      <c r="E460" s="0" t="str">
        <f aca="false">VLOOKUP(D460,Fornitori!$A$2:$C$6,2,FALSE())</f>
        <v>Pneumax Service</v>
      </c>
      <c r="F460" s="0" t="n">
        <v>13</v>
      </c>
      <c r="G460" s="0" t="n">
        <v>18</v>
      </c>
      <c r="H460" s="0" t="str">
        <f aca="false">IF(F460&lt;G460,"SI","NO")</f>
        <v>SI</v>
      </c>
    </row>
    <row r="461" customFormat="false" ht="15" hidden="false" customHeight="false" outlineLevel="0" collapsed="false">
      <c r="A461" s="0" t="s">
        <v>1301</v>
      </c>
      <c r="B461" s="0" t="s">
        <v>1302</v>
      </c>
      <c r="C461" s="0" t="s">
        <v>1303</v>
      </c>
      <c r="D461" s="2" t="s">
        <v>27</v>
      </c>
      <c r="E461" s="0" t="str">
        <f aca="false">VLOOKUP(D461,Fornitori!$A$2:$C$6,2,FALSE())</f>
        <v>Guarnizioni Alpi</v>
      </c>
      <c r="F461" s="0" t="n">
        <v>52</v>
      </c>
      <c r="G461" s="0" t="n">
        <v>22</v>
      </c>
      <c r="H461" s="0" t="str">
        <f aca="false">IF(F461&lt;G461,"SI","NO")</f>
        <v>NO</v>
      </c>
    </row>
    <row r="462" customFormat="false" ht="15" hidden="false" customHeight="false" outlineLevel="0" collapsed="false">
      <c r="A462" s="0" t="s">
        <v>1304</v>
      </c>
      <c r="B462" s="0" t="s">
        <v>1305</v>
      </c>
      <c r="C462" s="0" t="s">
        <v>1306</v>
      </c>
      <c r="D462" s="2" t="s">
        <v>11</v>
      </c>
      <c r="E462" s="0" t="str">
        <f aca="false">VLOOKUP(D462,Fornitori!$A$2:$C$6,2,FALSE())</f>
        <v>Meccanica Bassi S.r.l.</v>
      </c>
      <c r="F462" s="0" t="n">
        <v>34</v>
      </c>
      <c r="G462" s="0" t="n">
        <v>13</v>
      </c>
      <c r="H462" s="0" t="str">
        <f aca="false">IF(F462&lt;G462,"SI","NO")</f>
        <v>NO</v>
      </c>
    </row>
    <row r="463" customFormat="false" ht="15" hidden="false" customHeight="false" outlineLevel="0" collapsed="false">
      <c r="A463" s="0" t="s">
        <v>1307</v>
      </c>
      <c r="B463" s="0" t="s">
        <v>1308</v>
      </c>
      <c r="C463" s="0" t="s">
        <v>1309</v>
      </c>
      <c r="D463" s="2" t="s">
        <v>15</v>
      </c>
      <c r="E463" s="0" t="str">
        <f aca="false">VLOOKUP(D463,Fornitori!$A$2:$C$6,2,FALSE())</f>
        <v>Rulmeca Italia</v>
      </c>
      <c r="F463" s="0" t="n">
        <v>26</v>
      </c>
      <c r="G463" s="0" t="n">
        <v>7</v>
      </c>
      <c r="H463" s="0" t="str">
        <f aca="false">IF(F463&lt;G463,"SI","NO")</f>
        <v>NO</v>
      </c>
    </row>
    <row r="464" customFormat="false" ht="15" hidden="false" customHeight="false" outlineLevel="0" collapsed="false">
      <c r="A464" s="0" t="s">
        <v>1310</v>
      </c>
      <c r="B464" s="0" t="s">
        <v>1311</v>
      </c>
      <c r="C464" s="0" t="s">
        <v>1312</v>
      </c>
      <c r="D464" s="2" t="s">
        <v>19</v>
      </c>
      <c r="E464" s="0" t="str">
        <f aca="false">VLOOKUP(D464,Fornitori!$A$2:$C$6,2,FALSE())</f>
        <v>Elettrotecnica Ferri</v>
      </c>
      <c r="F464" s="0" t="n">
        <v>43</v>
      </c>
      <c r="G464" s="0" t="n">
        <v>20</v>
      </c>
      <c r="H464" s="0" t="str">
        <f aca="false">IF(F464&lt;G464,"SI","NO")</f>
        <v>NO</v>
      </c>
    </row>
    <row r="465" customFormat="false" ht="15" hidden="false" customHeight="false" outlineLevel="0" collapsed="false">
      <c r="A465" s="0" t="s">
        <v>1313</v>
      </c>
      <c r="B465" s="0" t="s">
        <v>1314</v>
      </c>
      <c r="C465" s="0" t="s">
        <v>1315</v>
      </c>
      <c r="D465" s="2" t="s">
        <v>23</v>
      </c>
      <c r="E465" s="0" t="str">
        <f aca="false">VLOOKUP(D465,Fornitori!$A$2:$C$6,2,FALSE())</f>
        <v>Pneumax Service</v>
      </c>
      <c r="F465" s="0" t="n">
        <v>44</v>
      </c>
      <c r="G465" s="0" t="n">
        <v>19</v>
      </c>
      <c r="H465" s="0" t="str">
        <f aca="false">IF(F465&lt;G465,"SI","NO")</f>
        <v>NO</v>
      </c>
    </row>
    <row r="466" customFormat="false" ht="15" hidden="false" customHeight="false" outlineLevel="0" collapsed="false">
      <c r="A466" s="0" t="s">
        <v>1316</v>
      </c>
      <c r="B466" s="0" t="s">
        <v>665</v>
      </c>
      <c r="C466" s="0" t="s">
        <v>1317</v>
      </c>
      <c r="D466" s="2" t="s">
        <v>27</v>
      </c>
      <c r="E466" s="0" t="str">
        <f aca="false">VLOOKUP(D466,Fornitori!$A$2:$C$6,2,FALSE())</f>
        <v>Guarnizioni Alpi</v>
      </c>
      <c r="F466" s="0" t="n">
        <v>8</v>
      </c>
      <c r="G466" s="0" t="n">
        <v>9</v>
      </c>
      <c r="H466" s="0" t="str">
        <f aca="false">IF(F466&lt;G466,"SI","NO")</f>
        <v>SI</v>
      </c>
    </row>
    <row r="467" customFormat="false" ht="15" hidden="false" customHeight="false" outlineLevel="0" collapsed="false">
      <c r="A467" s="0" t="s">
        <v>1318</v>
      </c>
      <c r="B467" s="0" t="s">
        <v>1319</v>
      </c>
      <c r="C467" s="0" t="s">
        <v>1320</v>
      </c>
      <c r="D467" s="2" t="s">
        <v>11</v>
      </c>
      <c r="E467" s="0" t="str">
        <f aca="false">VLOOKUP(D467,Fornitori!$A$2:$C$6,2,FALSE())</f>
        <v>Meccanica Bassi S.r.l.</v>
      </c>
      <c r="F467" s="0" t="n">
        <v>48</v>
      </c>
      <c r="G467" s="0" t="n">
        <v>10</v>
      </c>
      <c r="H467" s="0" t="str">
        <f aca="false">IF(F467&lt;G467,"SI","NO")</f>
        <v>NO</v>
      </c>
    </row>
    <row r="468" customFormat="false" ht="15" hidden="false" customHeight="false" outlineLevel="0" collapsed="false">
      <c r="A468" s="0" t="s">
        <v>1321</v>
      </c>
      <c r="B468" s="0" t="s">
        <v>1322</v>
      </c>
      <c r="C468" s="0" t="s">
        <v>1323</v>
      </c>
      <c r="D468" s="2" t="s">
        <v>15</v>
      </c>
      <c r="E468" s="0" t="str">
        <f aca="false">VLOOKUP(D468,Fornitori!$A$2:$C$6,2,FALSE())</f>
        <v>Rulmeca Italia</v>
      </c>
      <c r="F468" s="0" t="n">
        <v>13</v>
      </c>
      <c r="G468" s="0" t="n">
        <v>8</v>
      </c>
      <c r="H468" s="0" t="str">
        <f aca="false">IF(F468&lt;G468,"SI","NO")</f>
        <v>NO</v>
      </c>
    </row>
    <row r="469" customFormat="false" ht="15" hidden="false" customHeight="false" outlineLevel="0" collapsed="false">
      <c r="A469" s="0" t="s">
        <v>1324</v>
      </c>
      <c r="B469" s="0" t="s">
        <v>1325</v>
      </c>
      <c r="C469" s="0" t="s">
        <v>1326</v>
      </c>
      <c r="D469" s="2" t="s">
        <v>19</v>
      </c>
      <c r="E469" s="0" t="str">
        <f aca="false">VLOOKUP(D469,Fornitori!$A$2:$C$6,2,FALSE())</f>
        <v>Elettrotecnica Ferri</v>
      </c>
      <c r="F469" s="0" t="n">
        <v>2</v>
      </c>
      <c r="G469" s="0" t="n">
        <v>6</v>
      </c>
      <c r="H469" s="0" t="str">
        <f aca="false">IF(F469&lt;G469,"SI","NO")</f>
        <v>SI</v>
      </c>
    </row>
    <row r="470" customFormat="false" ht="15" hidden="false" customHeight="false" outlineLevel="0" collapsed="false">
      <c r="A470" s="0" t="s">
        <v>1327</v>
      </c>
      <c r="B470" s="0" t="s">
        <v>1328</v>
      </c>
      <c r="C470" s="0" t="s">
        <v>1303</v>
      </c>
      <c r="D470" s="2" t="s">
        <v>23</v>
      </c>
      <c r="E470" s="0" t="str">
        <f aca="false">VLOOKUP(D470,Fornitori!$A$2:$C$6,2,FALSE())</f>
        <v>Pneumax Service</v>
      </c>
      <c r="F470" s="0" t="n">
        <v>19</v>
      </c>
      <c r="G470" s="0" t="n">
        <v>19</v>
      </c>
      <c r="H470" s="0" t="str">
        <f aca="false">IF(F470&lt;G470,"SI","NO")</f>
        <v>NO</v>
      </c>
    </row>
    <row r="471" customFormat="false" ht="15" hidden="false" customHeight="false" outlineLevel="0" collapsed="false">
      <c r="A471" s="0" t="s">
        <v>1329</v>
      </c>
      <c r="B471" s="0" t="s">
        <v>1330</v>
      </c>
      <c r="C471" s="0" t="s">
        <v>1331</v>
      </c>
      <c r="D471" s="2" t="s">
        <v>27</v>
      </c>
      <c r="E471" s="0" t="str">
        <f aca="false">VLOOKUP(D471,Fornitori!$A$2:$C$6,2,FALSE())</f>
        <v>Guarnizioni Alpi</v>
      </c>
      <c r="F471" s="0" t="n">
        <v>36</v>
      </c>
      <c r="G471" s="0" t="n">
        <v>16</v>
      </c>
      <c r="H471" s="0" t="str">
        <f aca="false">IF(F471&lt;G471,"SI","NO")</f>
        <v>NO</v>
      </c>
    </row>
    <row r="472" customFormat="false" ht="15" hidden="false" customHeight="false" outlineLevel="0" collapsed="false">
      <c r="A472" s="0" t="s">
        <v>1332</v>
      </c>
      <c r="B472" s="0" t="s">
        <v>1333</v>
      </c>
      <c r="C472" s="0" t="s">
        <v>1334</v>
      </c>
      <c r="D472" s="2" t="s">
        <v>11</v>
      </c>
      <c r="E472" s="0" t="str">
        <f aca="false">VLOOKUP(D472,Fornitori!$A$2:$C$6,2,FALSE())</f>
        <v>Meccanica Bassi S.r.l.</v>
      </c>
      <c r="F472" s="0" t="n">
        <v>29</v>
      </c>
      <c r="G472" s="0" t="n">
        <v>20</v>
      </c>
      <c r="H472" s="0" t="str">
        <f aca="false">IF(F472&lt;G472,"SI","NO")</f>
        <v>NO</v>
      </c>
    </row>
    <row r="473" customFormat="false" ht="15" hidden="false" customHeight="false" outlineLevel="0" collapsed="false">
      <c r="A473" s="0" t="s">
        <v>1335</v>
      </c>
      <c r="B473" s="0" t="s">
        <v>1336</v>
      </c>
      <c r="C473" s="0" t="s">
        <v>1337</v>
      </c>
      <c r="D473" s="2" t="s">
        <v>15</v>
      </c>
      <c r="E473" s="0" t="str">
        <f aca="false">VLOOKUP(D473,Fornitori!$A$2:$C$6,2,FALSE())</f>
        <v>Rulmeca Italia</v>
      </c>
      <c r="F473" s="0" t="n">
        <v>31</v>
      </c>
      <c r="G473" s="0" t="n">
        <v>18</v>
      </c>
      <c r="H473" s="0" t="str">
        <f aca="false">IF(F473&lt;G473,"SI","NO")</f>
        <v>NO</v>
      </c>
    </row>
    <row r="474" customFormat="false" ht="15" hidden="false" customHeight="false" outlineLevel="0" collapsed="false">
      <c r="A474" s="0" t="s">
        <v>1338</v>
      </c>
      <c r="B474" s="0" t="s">
        <v>1339</v>
      </c>
      <c r="C474" s="0" t="s">
        <v>1340</v>
      </c>
      <c r="D474" s="2" t="s">
        <v>19</v>
      </c>
      <c r="E474" s="0" t="str">
        <f aca="false">VLOOKUP(D474,Fornitori!$A$2:$C$6,2,FALSE())</f>
        <v>Elettrotecnica Ferri</v>
      </c>
      <c r="F474" s="0" t="n">
        <v>58</v>
      </c>
      <c r="G474" s="0" t="n">
        <v>7</v>
      </c>
      <c r="H474" s="0" t="str">
        <f aca="false">IF(F474&lt;G474,"SI","NO")</f>
        <v>NO</v>
      </c>
    </row>
    <row r="475" customFormat="false" ht="15" hidden="false" customHeight="false" outlineLevel="0" collapsed="false">
      <c r="A475" s="0" t="s">
        <v>1341</v>
      </c>
      <c r="B475" s="0" t="s">
        <v>1342</v>
      </c>
      <c r="C475" s="0" t="s">
        <v>1343</v>
      </c>
      <c r="D475" s="2" t="s">
        <v>23</v>
      </c>
      <c r="E475" s="0" t="str">
        <f aca="false">VLOOKUP(D475,Fornitori!$A$2:$C$6,2,FALSE())</f>
        <v>Pneumax Service</v>
      </c>
      <c r="F475" s="0" t="n">
        <v>5</v>
      </c>
      <c r="G475" s="0" t="n">
        <v>9</v>
      </c>
      <c r="H475" s="0" t="str">
        <f aca="false">IF(F475&lt;G475,"SI","NO")</f>
        <v>SI</v>
      </c>
    </row>
    <row r="476" customFormat="false" ht="15" hidden="false" customHeight="false" outlineLevel="0" collapsed="false">
      <c r="A476" s="0" t="s">
        <v>1344</v>
      </c>
      <c r="B476" s="0" t="s">
        <v>1345</v>
      </c>
      <c r="C476" s="0" t="s">
        <v>1346</v>
      </c>
      <c r="D476" s="2" t="s">
        <v>27</v>
      </c>
      <c r="E476" s="0" t="str">
        <f aca="false">VLOOKUP(D476,Fornitori!$A$2:$C$6,2,FALSE())</f>
        <v>Guarnizioni Alpi</v>
      </c>
      <c r="F476" s="0" t="n">
        <v>23</v>
      </c>
      <c r="G476" s="0" t="n">
        <v>10</v>
      </c>
      <c r="H476" s="0" t="str">
        <f aca="false">IF(F476&lt;G476,"SI","NO")</f>
        <v>NO</v>
      </c>
    </row>
    <row r="477" customFormat="false" ht="15" hidden="false" customHeight="false" outlineLevel="0" collapsed="false">
      <c r="A477" s="0" t="s">
        <v>1347</v>
      </c>
      <c r="B477" s="0" t="s">
        <v>1348</v>
      </c>
      <c r="C477" s="0" t="s">
        <v>1349</v>
      </c>
      <c r="D477" s="2" t="s">
        <v>11</v>
      </c>
      <c r="E477" s="0" t="str">
        <f aca="false">VLOOKUP(D477,Fornitori!$A$2:$C$6,2,FALSE())</f>
        <v>Meccanica Bassi S.r.l.</v>
      </c>
      <c r="F477" s="0" t="n">
        <v>20</v>
      </c>
      <c r="G477" s="0" t="n">
        <v>17</v>
      </c>
      <c r="H477" s="0" t="str">
        <f aca="false">IF(F477&lt;G477,"SI","NO")</f>
        <v>NO</v>
      </c>
    </row>
    <row r="478" customFormat="false" ht="15" hidden="false" customHeight="false" outlineLevel="0" collapsed="false">
      <c r="A478" s="0" t="s">
        <v>1350</v>
      </c>
      <c r="B478" s="0" t="s">
        <v>1351</v>
      </c>
      <c r="C478" s="0" t="s">
        <v>1352</v>
      </c>
      <c r="D478" s="2" t="s">
        <v>15</v>
      </c>
      <c r="E478" s="0" t="str">
        <f aca="false">VLOOKUP(D478,Fornitori!$A$2:$C$6,2,FALSE())</f>
        <v>Rulmeca Italia</v>
      </c>
      <c r="F478" s="0" t="n">
        <v>23</v>
      </c>
      <c r="G478" s="0" t="n">
        <v>9</v>
      </c>
      <c r="H478" s="0" t="str">
        <f aca="false">IF(F478&lt;G478,"SI","NO")</f>
        <v>NO</v>
      </c>
    </row>
    <row r="479" customFormat="false" ht="15" hidden="false" customHeight="false" outlineLevel="0" collapsed="false">
      <c r="A479" s="0" t="s">
        <v>1353</v>
      </c>
      <c r="B479" s="0" t="s">
        <v>1354</v>
      </c>
      <c r="C479" s="0" t="s">
        <v>1355</v>
      </c>
      <c r="D479" s="2" t="s">
        <v>19</v>
      </c>
      <c r="E479" s="0" t="str">
        <f aca="false">VLOOKUP(D479,Fornitori!$A$2:$C$6,2,FALSE())</f>
        <v>Elettrotecnica Ferri</v>
      </c>
      <c r="F479" s="0" t="n">
        <v>6</v>
      </c>
      <c r="G479" s="0" t="n">
        <v>23</v>
      </c>
      <c r="H479" s="0" t="str">
        <f aca="false">IF(F479&lt;G479,"SI","NO")</f>
        <v>SI</v>
      </c>
    </row>
    <row r="480" customFormat="false" ht="15" hidden="false" customHeight="false" outlineLevel="0" collapsed="false">
      <c r="A480" s="0" t="s">
        <v>1356</v>
      </c>
      <c r="B480" s="0" t="s">
        <v>1357</v>
      </c>
      <c r="C480" s="0" t="s">
        <v>1358</v>
      </c>
      <c r="D480" s="2" t="s">
        <v>23</v>
      </c>
      <c r="E480" s="0" t="str">
        <f aca="false">VLOOKUP(D480,Fornitori!$A$2:$C$6,2,FALSE())</f>
        <v>Pneumax Service</v>
      </c>
      <c r="F480" s="0" t="n">
        <v>31</v>
      </c>
      <c r="G480" s="0" t="n">
        <v>10</v>
      </c>
      <c r="H480" s="0" t="str">
        <f aca="false">IF(F480&lt;G480,"SI","NO")</f>
        <v>NO</v>
      </c>
    </row>
    <row r="481" customFormat="false" ht="15" hidden="false" customHeight="false" outlineLevel="0" collapsed="false">
      <c r="A481" s="0" t="s">
        <v>1359</v>
      </c>
      <c r="B481" s="0" t="s">
        <v>101</v>
      </c>
      <c r="C481" s="0" t="s">
        <v>1360</v>
      </c>
      <c r="D481" s="2" t="s">
        <v>27</v>
      </c>
      <c r="E481" s="0" t="str">
        <f aca="false">VLOOKUP(D481,Fornitori!$A$2:$C$6,2,FALSE())</f>
        <v>Guarnizioni Alpi</v>
      </c>
      <c r="F481" s="0" t="n">
        <v>14</v>
      </c>
      <c r="G481" s="0" t="n">
        <v>10</v>
      </c>
      <c r="H481" s="0" t="str">
        <f aca="false">IF(F481&lt;G481,"SI","NO")</f>
        <v>NO</v>
      </c>
    </row>
    <row r="482" customFormat="false" ht="15" hidden="false" customHeight="false" outlineLevel="0" collapsed="false">
      <c r="A482" s="0" t="s">
        <v>1361</v>
      </c>
      <c r="B482" s="0" t="s">
        <v>1362</v>
      </c>
      <c r="C482" s="0" t="s">
        <v>1363</v>
      </c>
      <c r="D482" s="2" t="s">
        <v>11</v>
      </c>
      <c r="E482" s="0" t="str">
        <f aca="false">VLOOKUP(D482,Fornitori!$A$2:$C$6,2,FALSE())</f>
        <v>Meccanica Bassi S.r.l.</v>
      </c>
      <c r="F482" s="0" t="n">
        <v>54</v>
      </c>
      <c r="G482" s="0" t="n">
        <v>19</v>
      </c>
      <c r="H482" s="0" t="str">
        <f aca="false">IF(F482&lt;G482,"SI","NO")</f>
        <v>NO</v>
      </c>
    </row>
    <row r="483" customFormat="false" ht="15" hidden="false" customHeight="false" outlineLevel="0" collapsed="false">
      <c r="A483" s="0" t="s">
        <v>1364</v>
      </c>
      <c r="B483" s="0" t="s">
        <v>1365</v>
      </c>
      <c r="C483" s="0" t="s">
        <v>1366</v>
      </c>
      <c r="D483" s="2" t="s">
        <v>15</v>
      </c>
      <c r="E483" s="0" t="str">
        <f aca="false">VLOOKUP(D483,Fornitori!$A$2:$C$6,2,FALSE())</f>
        <v>Rulmeca Italia</v>
      </c>
      <c r="F483" s="0" t="n">
        <v>0</v>
      </c>
      <c r="G483" s="0" t="n">
        <v>6</v>
      </c>
      <c r="H483" s="0" t="str">
        <f aca="false">IF(F483&lt;G483,"SI","NO")</f>
        <v>SI</v>
      </c>
    </row>
    <row r="484" customFormat="false" ht="15" hidden="false" customHeight="false" outlineLevel="0" collapsed="false">
      <c r="A484" s="0" t="s">
        <v>1367</v>
      </c>
      <c r="B484" s="0" t="s">
        <v>1368</v>
      </c>
      <c r="C484" s="0" t="s">
        <v>1369</v>
      </c>
      <c r="D484" s="2" t="s">
        <v>19</v>
      </c>
      <c r="E484" s="0" t="str">
        <f aca="false">VLOOKUP(D484,Fornitori!$A$2:$C$6,2,FALSE())</f>
        <v>Elettrotecnica Ferri</v>
      </c>
      <c r="F484" s="0" t="n">
        <v>3</v>
      </c>
      <c r="G484" s="0" t="n">
        <v>21</v>
      </c>
      <c r="H484" s="0" t="str">
        <f aca="false">IF(F484&lt;G484,"SI","NO")</f>
        <v>SI</v>
      </c>
    </row>
    <row r="485" customFormat="false" ht="15" hidden="false" customHeight="false" outlineLevel="0" collapsed="false">
      <c r="A485" s="0" t="s">
        <v>1370</v>
      </c>
      <c r="B485" s="0" t="s">
        <v>1371</v>
      </c>
      <c r="C485" s="0" t="s">
        <v>224</v>
      </c>
      <c r="D485" s="2" t="s">
        <v>23</v>
      </c>
      <c r="E485" s="0" t="str">
        <f aca="false">VLOOKUP(D485,Fornitori!$A$2:$C$6,2,FALSE())</f>
        <v>Pneumax Service</v>
      </c>
      <c r="F485" s="0" t="n">
        <v>42</v>
      </c>
      <c r="G485" s="0" t="n">
        <v>10</v>
      </c>
      <c r="H485" s="0" t="str">
        <f aca="false">IF(F485&lt;G485,"SI","NO")</f>
        <v>NO</v>
      </c>
    </row>
    <row r="486" customFormat="false" ht="15" hidden="false" customHeight="false" outlineLevel="0" collapsed="false">
      <c r="A486" s="0" t="s">
        <v>1372</v>
      </c>
      <c r="B486" s="0" t="s">
        <v>1373</v>
      </c>
      <c r="C486" s="0" t="s">
        <v>287</v>
      </c>
      <c r="D486" s="2" t="s">
        <v>27</v>
      </c>
      <c r="E486" s="0" t="str">
        <f aca="false">VLOOKUP(D486,Fornitori!$A$2:$C$6,2,FALSE())</f>
        <v>Guarnizioni Alpi</v>
      </c>
      <c r="F486" s="0" t="n">
        <v>51</v>
      </c>
      <c r="G486" s="0" t="n">
        <v>23</v>
      </c>
      <c r="H486" s="0" t="str">
        <f aca="false">IF(F486&lt;G486,"SI","NO")</f>
        <v>NO</v>
      </c>
    </row>
    <row r="487" customFormat="false" ht="15" hidden="false" customHeight="false" outlineLevel="0" collapsed="false">
      <c r="A487" s="0" t="s">
        <v>1374</v>
      </c>
      <c r="B487" s="0" t="s">
        <v>1375</v>
      </c>
      <c r="C487" s="0" t="s">
        <v>1376</v>
      </c>
      <c r="D487" s="2" t="s">
        <v>11</v>
      </c>
      <c r="E487" s="0" t="str">
        <f aca="false">VLOOKUP(D487,Fornitori!$A$2:$C$6,2,FALSE())</f>
        <v>Meccanica Bassi S.r.l.</v>
      </c>
      <c r="F487" s="0" t="n">
        <v>34</v>
      </c>
      <c r="G487" s="0" t="n">
        <v>15</v>
      </c>
      <c r="H487" s="0" t="str">
        <f aca="false">IF(F487&lt;G487,"SI","NO")</f>
        <v>NO</v>
      </c>
    </row>
    <row r="488" customFormat="false" ht="15" hidden="false" customHeight="false" outlineLevel="0" collapsed="false">
      <c r="A488" s="0" t="s">
        <v>1377</v>
      </c>
      <c r="B488" s="0" t="s">
        <v>1378</v>
      </c>
      <c r="C488" s="0" t="s">
        <v>1379</v>
      </c>
      <c r="D488" s="2" t="s">
        <v>15</v>
      </c>
      <c r="E488" s="0" t="str">
        <f aca="false">VLOOKUP(D488,Fornitori!$A$2:$C$6,2,FALSE())</f>
        <v>Rulmeca Italia</v>
      </c>
      <c r="F488" s="0" t="n">
        <v>39</v>
      </c>
      <c r="G488" s="0" t="n">
        <v>7</v>
      </c>
      <c r="H488" s="0" t="str">
        <f aca="false">IF(F488&lt;G488,"SI","NO")</f>
        <v>NO</v>
      </c>
    </row>
    <row r="489" customFormat="false" ht="15" hidden="false" customHeight="false" outlineLevel="0" collapsed="false">
      <c r="A489" s="0" t="s">
        <v>1380</v>
      </c>
      <c r="B489" s="0" t="s">
        <v>1381</v>
      </c>
      <c r="C489" s="0" t="s">
        <v>1382</v>
      </c>
      <c r="D489" s="2" t="s">
        <v>19</v>
      </c>
      <c r="E489" s="0" t="str">
        <f aca="false">VLOOKUP(D489,Fornitori!$A$2:$C$6,2,FALSE())</f>
        <v>Elettrotecnica Ferri</v>
      </c>
      <c r="F489" s="0" t="n">
        <v>19</v>
      </c>
      <c r="G489" s="0" t="n">
        <v>23</v>
      </c>
      <c r="H489" s="0" t="str">
        <f aca="false">IF(F489&lt;G489,"SI","NO")</f>
        <v>SI</v>
      </c>
    </row>
    <row r="490" customFormat="false" ht="15" hidden="false" customHeight="false" outlineLevel="0" collapsed="false">
      <c r="A490" s="0" t="s">
        <v>1383</v>
      </c>
      <c r="B490" s="0" t="s">
        <v>507</v>
      </c>
      <c r="C490" s="0" t="s">
        <v>412</v>
      </c>
      <c r="D490" s="2" t="s">
        <v>23</v>
      </c>
      <c r="E490" s="0" t="str">
        <f aca="false">VLOOKUP(D490,Fornitori!$A$2:$C$6,2,FALSE())</f>
        <v>Pneumax Service</v>
      </c>
      <c r="F490" s="0" t="n">
        <v>8</v>
      </c>
      <c r="G490" s="0" t="n">
        <v>14</v>
      </c>
      <c r="H490" s="0" t="str">
        <f aca="false">IF(F490&lt;G490,"SI","NO")</f>
        <v>SI</v>
      </c>
    </row>
    <row r="491" customFormat="false" ht="15" hidden="false" customHeight="false" outlineLevel="0" collapsed="false">
      <c r="A491" s="0" t="s">
        <v>1384</v>
      </c>
      <c r="B491" s="0" t="s">
        <v>1385</v>
      </c>
      <c r="C491" s="0" t="s">
        <v>1386</v>
      </c>
      <c r="D491" s="2" t="s">
        <v>27</v>
      </c>
      <c r="E491" s="0" t="str">
        <f aca="false">VLOOKUP(D491,Fornitori!$A$2:$C$6,2,FALSE())</f>
        <v>Guarnizioni Alpi</v>
      </c>
      <c r="F491" s="0" t="n">
        <v>43</v>
      </c>
      <c r="G491" s="0" t="n">
        <v>19</v>
      </c>
      <c r="H491" s="0" t="str">
        <f aca="false">IF(F491&lt;G491,"SI","NO")</f>
        <v>NO</v>
      </c>
    </row>
    <row r="492" customFormat="false" ht="15" hidden="false" customHeight="false" outlineLevel="0" collapsed="false">
      <c r="A492" s="0" t="s">
        <v>1387</v>
      </c>
      <c r="B492" s="0" t="s">
        <v>763</v>
      </c>
      <c r="C492" s="0" t="s">
        <v>1388</v>
      </c>
      <c r="D492" s="2" t="s">
        <v>11</v>
      </c>
      <c r="E492" s="0" t="str">
        <f aca="false">VLOOKUP(D492,Fornitori!$A$2:$C$6,2,FALSE())</f>
        <v>Meccanica Bassi S.r.l.</v>
      </c>
      <c r="F492" s="0" t="n">
        <v>26</v>
      </c>
      <c r="G492" s="0" t="n">
        <v>16</v>
      </c>
      <c r="H492" s="0" t="str">
        <f aca="false">IF(F492&lt;G492,"SI","NO")</f>
        <v>NO</v>
      </c>
    </row>
    <row r="493" customFormat="false" ht="15" hidden="false" customHeight="false" outlineLevel="0" collapsed="false">
      <c r="A493" s="0" t="s">
        <v>1389</v>
      </c>
      <c r="B493" s="0" t="s">
        <v>1390</v>
      </c>
      <c r="C493" s="0" t="s">
        <v>1391</v>
      </c>
      <c r="D493" s="2" t="s">
        <v>15</v>
      </c>
      <c r="E493" s="0" t="str">
        <f aca="false">VLOOKUP(D493,Fornitori!$A$2:$C$6,2,FALSE())</f>
        <v>Rulmeca Italia</v>
      </c>
      <c r="F493" s="0" t="n">
        <v>7</v>
      </c>
      <c r="G493" s="0" t="n">
        <v>12</v>
      </c>
      <c r="H493" s="0" t="str">
        <f aca="false">IF(F493&lt;G493,"SI","NO")</f>
        <v>SI</v>
      </c>
    </row>
    <row r="494" customFormat="false" ht="15" hidden="false" customHeight="false" outlineLevel="0" collapsed="false">
      <c r="A494" s="0" t="s">
        <v>1392</v>
      </c>
      <c r="B494" s="0" t="s">
        <v>1393</v>
      </c>
      <c r="C494" s="0" t="s">
        <v>1394</v>
      </c>
      <c r="D494" s="2" t="s">
        <v>19</v>
      </c>
      <c r="E494" s="0" t="str">
        <f aca="false">VLOOKUP(D494,Fornitori!$A$2:$C$6,2,FALSE())</f>
        <v>Elettrotecnica Ferri</v>
      </c>
      <c r="F494" s="0" t="n">
        <v>53</v>
      </c>
      <c r="G494" s="0" t="n">
        <v>13</v>
      </c>
      <c r="H494" s="0" t="str">
        <f aca="false">IF(F494&lt;G494,"SI","NO")</f>
        <v>NO</v>
      </c>
    </row>
    <row r="495" customFormat="false" ht="15" hidden="false" customHeight="false" outlineLevel="0" collapsed="false">
      <c r="A495" s="0" t="s">
        <v>1395</v>
      </c>
      <c r="B495" s="0" t="s">
        <v>1396</v>
      </c>
      <c r="C495" s="0" t="s">
        <v>1397</v>
      </c>
      <c r="D495" s="2" t="s">
        <v>23</v>
      </c>
      <c r="E495" s="0" t="str">
        <f aca="false">VLOOKUP(D495,Fornitori!$A$2:$C$6,2,FALSE())</f>
        <v>Pneumax Service</v>
      </c>
      <c r="F495" s="0" t="n">
        <v>14</v>
      </c>
      <c r="G495" s="0" t="n">
        <v>22</v>
      </c>
      <c r="H495" s="0" t="str">
        <f aca="false">IF(F495&lt;G495,"SI","NO")</f>
        <v>SI</v>
      </c>
    </row>
    <row r="496" customFormat="false" ht="15" hidden="false" customHeight="false" outlineLevel="0" collapsed="false">
      <c r="A496" s="0" t="s">
        <v>1398</v>
      </c>
      <c r="B496" s="0" t="s">
        <v>1399</v>
      </c>
      <c r="C496" s="0" t="s">
        <v>1400</v>
      </c>
      <c r="D496" s="2" t="s">
        <v>27</v>
      </c>
      <c r="E496" s="0" t="str">
        <f aca="false">VLOOKUP(D496,Fornitori!$A$2:$C$6,2,FALSE())</f>
        <v>Guarnizioni Alpi</v>
      </c>
      <c r="F496" s="0" t="n">
        <v>58</v>
      </c>
      <c r="G496" s="0" t="n">
        <v>23</v>
      </c>
      <c r="H496" s="0" t="str">
        <f aca="false">IF(F496&lt;G496,"SI","NO")</f>
        <v>NO</v>
      </c>
    </row>
    <row r="497" customFormat="false" ht="15" hidden="false" customHeight="false" outlineLevel="0" collapsed="false">
      <c r="A497" s="0" t="s">
        <v>1401</v>
      </c>
      <c r="B497" s="0" t="s">
        <v>1402</v>
      </c>
      <c r="C497" s="0" t="s">
        <v>1403</v>
      </c>
      <c r="D497" s="2" t="s">
        <v>11</v>
      </c>
      <c r="E497" s="0" t="str">
        <f aca="false">VLOOKUP(D497,Fornitori!$A$2:$C$6,2,FALSE())</f>
        <v>Meccanica Bassi S.r.l.</v>
      </c>
      <c r="F497" s="0" t="n">
        <v>55</v>
      </c>
      <c r="G497" s="0" t="n">
        <v>21</v>
      </c>
      <c r="H497" s="0" t="str">
        <f aca="false">IF(F497&lt;G497,"SI","NO")</f>
        <v>NO</v>
      </c>
    </row>
    <row r="498" customFormat="false" ht="15" hidden="false" customHeight="false" outlineLevel="0" collapsed="false">
      <c r="A498" s="0" t="s">
        <v>1404</v>
      </c>
      <c r="B498" s="0" t="s">
        <v>1405</v>
      </c>
      <c r="C498" s="0" t="s">
        <v>386</v>
      </c>
      <c r="D498" s="2" t="s">
        <v>15</v>
      </c>
      <c r="E498" s="0" t="str">
        <f aca="false">VLOOKUP(D498,Fornitori!$A$2:$C$6,2,FALSE())</f>
        <v>Rulmeca Italia</v>
      </c>
      <c r="F498" s="0" t="n">
        <v>43</v>
      </c>
      <c r="G498" s="0" t="n">
        <v>17</v>
      </c>
      <c r="H498" s="0" t="str">
        <f aca="false">IF(F498&lt;G498,"SI","NO")</f>
        <v>NO</v>
      </c>
    </row>
    <row r="499" customFormat="false" ht="15" hidden="false" customHeight="false" outlineLevel="0" collapsed="false">
      <c r="A499" s="0" t="s">
        <v>1406</v>
      </c>
      <c r="B499" s="0" t="s">
        <v>1407</v>
      </c>
      <c r="C499" s="0" t="s">
        <v>1408</v>
      </c>
      <c r="D499" s="2" t="s">
        <v>19</v>
      </c>
      <c r="E499" s="0" t="str">
        <f aca="false">VLOOKUP(D499,Fornitori!$A$2:$C$6,2,FALSE())</f>
        <v>Elettrotecnica Ferri</v>
      </c>
      <c r="F499" s="0" t="n">
        <v>23</v>
      </c>
      <c r="G499" s="0" t="n">
        <v>24</v>
      </c>
      <c r="H499" s="0" t="str">
        <f aca="false">IF(F499&lt;G499,"SI","NO")</f>
        <v>SI</v>
      </c>
    </row>
    <row r="500" customFormat="false" ht="15" hidden="false" customHeight="false" outlineLevel="0" collapsed="false">
      <c r="A500" s="0" t="s">
        <v>1409</v>
      </c>
      <c r="B500" s="0" t="s">
        <v>1410</v>
      </c>
      <c r="C500" s="0" t="s">
        <v>511</v>
      </c>
      <c r="D500" s="2" t="s">
        <v>23</v>
      </c>
      <c r="E500" s="0" t="str">
        <f aca="false">VLOOKUP(D500,Fornitori!$A$2:$C$6,2,FALSE())</f>
        <v>Pneumax Service</v>
      </c>
      <c r="F500" s="0" t="n">
        <v>2</v>
      </c>
      <c r="G500" s="0" t="n">
        <v>5</v>
      </c>
      <c r="H500" s="0" t="str">
        <f aca="false">IF(F500&lt;G500,"SI","NO")</f>
        <v>SI</v>
      </c>
    </row>
    <row r="501" customFormat="false" ht="15" hidden="false" customHeight="false" outlineLevel="0" collapsed="false">
      <c r="A501" s="0" t="s">
        <v>1411</v>
      </c>
      <c r="B501" s="0" t="s">
        <v>1412</v>
      </c>
      <c r="C501" s="0" t="s">
        <v>319</v>
      </c>
      <c r="D501" s="2" t="s">
        <v>27</v>
      </c>
      <c r="E501" s="0" t="str">
        <f aca="false">VLOOKUP(D501,Fornitori!$A$2:$C$6,2,FALSE())</f>
        <v>Guarnizioni Alpi</v>
      </c>
      <c r="F501" s="0" t="n">
        <v>8</v>
      </c>
      <c r="G501" s="0" t="n">
        <v>18</v>
      </c>
      <c r="H501" s="0" t="str">
        <f aca="false">IF(F501&lt;G501,"SI","NO")</f>
        <v>SI</v>
      </c>
    </row>
    <row r="502" customFormat="false" ht="15" hidden="false" customHeight="false" outlineLevel="0" collapsed="false">
      <c r="A502" s="0" t="s">
        <v>1413</v>
      </c>
      <c r="B502" s="0" t="s">
        <v>426</v>
      </c>
      <c r="C502" s="0" t="s">
        <v>1414</v>
      </c>
      <c r="D502" s="2" t="s">
        <v>11</v>
      </c>
      <c r="E502" s="0" t="str">
        <f aca="false">VLOOKUP(D502,Fornitori!$A$2:$C$6,2,FALSE())</f>
        <v>Meccanica Bassi S.r.l.</v>
      </c>
      <c r="F502" s="0" t="n">
        <v>58</v>
      </c>
      <c r="G502" s="0" t="n">
        <v>16</v>
      </c>
      <c r="H502" s="0" t="str">
        <f aca="false">IF(F502&lt;G502,"SI","NO")</f>
        <v>NO</v>
      </c>
    </row>
    <row r="503" customFormat="false" ht="15" hidden="false" customHeight="false" outlineLevel="0" collapsed="false">
      <c r="A503" s="0" t="s">
        <v>1415</v>
      </c>
      <c r="B503" s="0" t="s">
        <v>1416</v>
      </c>
      <c r="C503" s="0" t="s">
        <v>1417</v>
      </c>
      <c r="D503" s="2" t="s">
        <v>15</v>
      </c>
      <c r="E503" s="0" t="str">
        <f aca="false">VLOOKUP(D503,Fornitori!$A$2:$C$6,2,FALSE())</f>
        <v>Rulmeca Italia</v>
      </c>
      <c r="F503" s="0" t="n">
        <v>0</v>
      </c>
      <c r="G503" s="0" t="n">
        <v>13</v>
      </c>
      <c r="H503" s="0" t="str">
        <f aca="false">IF(F503&lt;G503,"SI","NO")</f>
        <v>SI</v>
      </c>
    </row>
    <row r="504" customFormat="false" ht="15" hidden="false" customHeight="false" outlineLevel="0" collapsed="false">
      <c r="A504" s="0" t="s">
        <v>1418</v>
      </c>
      <c r="B504" s="0" t="s">
        <v>1419</v>
      </c>
      <c r="C504" s="0" t="s">
        <v>1420</v>
      </c>
      <c r="D504" s="2" t="s">
        <v>19</v>
      </c>
      <c r="E504" s="0" t="str">
        <f aca="false">VLOOKUP(D504,Fornitori!$A$2:$C$6,2,FALSE())</f>
        <v>Elettrotecnica Ferri</v>
      </c>
      <c r="F504" s="0" t="n">
        <v>33</v>
      </c>
      <c r="G504" s="0" t="n">
        <v>16</v>
      </c>
      <c r="H504" s="0" t="str">
        <f aca="false">IF(F504&lt;G504,"SI","NO")</f>
        <v>NO</v>
      </c>
    </row>
    <row r="505" customFormat="false" ht="15" hidden="false" customHeight="false" outlineLevel="0" collapsed="false">
      <c r="A505" s="0" t="s">
        <v>1421</v>
      </c>
      <c r="B505" s="0" t="s">
        <v>1422</v>
      </c>
      <c r="C505" s="0" t="s">
        <v>1340</v>
      </c>
      <c r="D505" s="2" t="s">
        <v>23</v>
      </c>
      <c r="E505" s="0" t="str">
        <f aca="false">VLOOKUP(D505,Fornitori!$A$2:$C$6,2,FALSE())</f>
        <v>Pneumax Service</v>
      </c>
      <c r="F505" s="0" t="n">
        <v>35</v>
      </c>
      <c r="G505" s="0" t="n">
        <v>15</v>
      </c>
      <c r="H505" s="0" t="str">
        <f aca="false">IF(F505&lt;G505,"SI","NO")</f>
        <v>NO</v>
      </c>
    </row>
    <row r="506" customFormat="false" ht="15" hidden="false" customHeight="false" outlineLevel="0" collapsed="false">
      <c r="A506" s="0" t="s">
        <v>1423</v>
      </c>
      <c r="B506" s="0" t="s">
        <v>1424</v>
      </c>
      <c r="C506" s="0" t="s">
        <v>1425</v>
      </c>
      <c r="D506" s="2" t="s">
        <v>27</v>
      </c>
      <c r="E506" s="0" t="str">
        <f aca="false">VLOOKUP(D506,Fornitori!$A$2:$C$6,2,FALSE())</f>
        <v>Guarnizioni Alpi</v>
      </c>
      <c r="F506" s="0" t="n">
        <v>12</v>
      </c>
      <c r="G506" s="0" t="n">
        <v>19</v>
      </c>
      <c r="H506" s="0" t="str">
        <f aca="false">IF(F506&lt;G506,"SI","NO")</f>
        <v>SI</v>
      </c>
    </row>
    <row r="507" customFormat="false" ht="15" hidden="false" customHeight="false" outlineLevel="0" collapsed="false">
      <c r="A507" s="0" t="s">
        <v>1426</v>
      </c>
      <c r="B507" s="0" t="s">
        <v>1427</v>
      </c>
      <c r="C507" s="0" t="s">
        <v>1428</v>
      </c>
      <c r="D507" s="2" t="s">
        <v>11</v>
      </c>
      <c r="E507" s="0" t="str">
        <f aca="false">VLOOKUP(D507,Fornitori!$A$2:$C$6,2,FALSE())</f>
        <v>Meccanica Bassi S.r.l.</v>
      </c>
      <c r="F507" s="0" t="n">
        <v>1</v>
      </c>
      <c r="G507" s="0" t="n">
        <v>20</v>
      </c>
      <c r="H507" s="0" t="str">
        <f aca="false">IF(F507&lt;G507,"SI","NO")</f>
        <v>SI</v>
      </c>
    </row>
    <row r="508" customFormat="false" ht="15" hidden="false" customHeight="false" outlineLevel="0" collapsed="false">
      <c r="A508" s="0" t="s">
        <v>1429</v>
      </c>
      <c r="B508" s="0" t="s">
        <v>1430</v>
      </c>
      <c r="C508" s="0" t="s">
        <v>1312</v>
      </c>
      <c r="D508" s="2" t="s">
        <v>15</v>
      </c>
      <c r="E508" s="0" t="str">
        <f aca="false">VLOOKUP(D508,Fornitori!$A$2:$C$6,2,FALSE())</f>
        <v>Rulmeca Italia</v>
      </c>
      <c r="F508" s="0" t="n">
        <v>35</v>
      </c>
      <c r="G508" s="0" t="n">
        <v>14</v>
      </c>
      <c r="H508" s="0" t="str">
        <f aca="false">IF(F508&lt;G508,"SI","NO")</f>
        <v>NO</v>
      </c>
    </row>
    <row r="509" customFormat="false" ht="15" hidden="false" customHeight="false" outlineLevel="0" collapsed="false">
      <c r="A509" s="0" t="s">
        <v>1431</v>
      </c>
      <c r="B509" s="0" t="s">
        <v>839</v>
      </c>
      <c r="C509" s="0" t="s">
        <v>987</v>
      </c>
      <c r="D509" s="2" t="s">
        <v>19</v>
      </c>
      <c r="E509" s="0" t="str">
        <f aca="false">VLOOKUP(D509,Fornitori!$A$2:$C$6,2,FALSE())</f>
        <v>Elettrotecnica Ferri</v>
      </c>
      <c r="F509" s="0" t="n">
        <v>48</v>
      </c>
      <c r="G509" s="0" t="n">
        <v>13</v>
      </c>
      <c r="H509" s="0" t="str">
        <f aca="false">IF(F509&lt;G509,"SI","NO")</f>
        <v>NO</v>
      </c>
    </row>
    <row r="510" customFormat="false" ht="15" hidden="false" customHeight="false" outlineLevel="0" collapsed="false">
      <c r="A510" s="0" t="s">
        <v>1432</v>
      </c>
      <c r="B510" s="0" t="s">
        <v>1433</v>
      </c>
      <c r="C510" s="0" t="s">
        <v>1434</v>
      </c>
      <c r="D510" s="2" t="s">
        <v>23</v>
      </c>
      <c r="E510" s="0" t="str">
        <f aca="false">VLOOKUP(D510,Fornitori!$A$2:$C$6,2,FALSE())</f>
        <v>Pneumax Service</v>
      </c>
      <c r="F510" s="0" t="n">
        <v>31</v>
      </c>
      <c r="G510" s="0" t="n">
        <v>21</v>
      </c>
      <c r="H510" s="0" t="str">
        <f aca="false">IF(F510&lt;G510,"SI","NO")</f>
        <v>NO</v>
      </c>
    </row>
    <row r="511" customFormat="false" ht="15" hidden="false" customHeight="false" outlineLevel="0" collapsed="false">
      <c r="A511" s="0" t="s">
        <v>1435</v>
      </c>
      <c r="B511" s="0" t="s">
        <v>1436</v>
      </c>
      <c r="C511" s="0" t="s">
        <v>1437</v>
      </c>
      <c r="D511" s="2" t="s">
        <v>27</v>
      </c>
      <c r="E511" s="0" t="str">
        <f aca="false">VLOOKUP(D511,Fornitori!$A$2:$C$6,2,FALSE())</f>
        <v>Guarnizioni Alpi</v>
      </c>
      <c r="F511" s="0" t="n">
        <v>39</v>
      </c>
      <c r="G511" s="0" t="n">
        <v>24</v>
      </c>
      <c r="H511" s="0" t="str">
        <f aca="false">IF(F511&lt;G511,"SI","NO")</f>
        <v>NO</v>
      </c>
    </row>
    <row r="512" customFormat="false" ht="15" hidden="false" customHeight="false" outlineLevel="0" collapsed="false">
      <c r="A512" s="0" t="s">
        <v>1438</v>
      </c>
      <c r="B512" s="0" t="s">
        <v>1439</v>
      </c>
      <c r="C512" s="0" t="s">
        <v>1440</v>
      </c>
      <c r="D512" s="2" t="s">
        <v>11</v>
      </c>
      <c r="E512" s="0" t="str">
        <f aca="false">VLOOKUP(D512,Fornitori!$A$2:$C$6,2,FALSE())</f>
        <v>Meccanica Bassi S.r.l.</v>
      </c>
      <c r="F512" s="0" t="n">
        <v>28</v>
      </c>
      <c r="G512" s="0" t="n">
        <v>17</v>
      </c>
      <c r="H512" s="0" t="str">
        <f aca="false">IF(F512&lt;G512,"SI","NO")</f>
        <v>NO</v>
      </c>
    </row>
    <row r="513" customFormat="false" ht="15" hidden="false" customHeight="false" outlineLevel="0" collapsed="false">
      <c r="A513" s="0" t="s">
        <v>1441</v>
      </c>
      <c r="B513" s="0" t="s">
        <v>1442</v>
      </c>
      <c r="C513" s="0" t="s">
        <v>1443</v>
      </c>
      <c r="D513" s="2" t="s">
        <v>15</v>
      </c>
      <c r="E513" s="0" t="str">
        <f aca="false">VLOOKUP(D513,Fornitori!$A$2:$C$6,2,FALSE())</f>
        <v>Rulmeca Italia</v>
      </c>
      <c r="F513" s="0" t="n">
        <v>33</v>
      </c>
      <c r="G513" s="0" t="n">
        <v>11</v>
      </c>
      <c r="H513" s="0" t="str">
        <f aca="false">IF(F513&lt;G513,"SI","NO")</f>
        <v>NO</v>
      </c>
    </row>
    <row r="514" customFormat="false" ht="15" hidden="false" customHeight="false" outlineLevel="0" collapsed="false">
      <c r="A514" s="0" t="s">
        <v>1444</v>
      </c>
      <c r="B514" s="0" t="s">
        <v>1445</v>
      </c>
      <c r="C514" s="0" t="s">
        <v>1198</v>
      </c>
      <c r="D514" s="2" t="s">
        <v>19</v>
      </c>
      <c r="E514" s="0" t="str">
        <f aca="false">VLOOKUP(D514,Fornitori!$A$2:$C$6,2,FALSE())</f>
        <v>Elettrotecnica Ferri</v>
      </c>
      <c r="F514" s="0" t="n">
        <v>52</v>
      </c>
      <c r="G514" s="0" t="n">
        <v>16</v>
      </c>
      <c r="H514" s="0" t="str">
        <f aca="false">IF(F514&lt;G514,"SI","NO")</f>
        <v>NO</v>
      </c>
    </row>
    <row r="515" customFormat="false" ht="15" hidden="false" customHeight="false" outlineLevel="0" collapsed="false">
      <c r="A515" s="0" t="s">
        <v>1446</v>
      </c>
      <c r="B515" s="0" t="s">
        <v>1447</v>
      </c>
      <c r="C515" s="0" t="s">
        <v>1448</v>
      </c>
      <c r="D515" s="2" t="s">
        <v>23</v>
      </c>
      <c r="E515" s="0" t="str">
        <f aca="false">VLOOKUP(D515,Fornitori!$A$2:$C$6,2,FALSE())</f>
        <v>Pneumax Service</v>
      </c>
      <c r="F515" s="0" t="n">
        <v>20</v>
      </c>
      <c r="G515" s="0" t="n">
        <v>5</v>
      </c>
      <c r="H515" s="0" t="str">
        <f aca="false">IF(F515&lt;G515,"SI","NO")</f>
        <v>NO</v>
      </c>
    </row>
    <row r="516" customFormat="false" ht="15" hidden="false" customHeight="false" outlineLevel="0" collapsed="false">
      <c r="A516" s="0" t="s">
        <v>1449</v>
      </c>
      <c r="B516" s="0" t="s">
        <v>1450</v>
      </c>
      <c r="C516" s="0" t="s">
        <v>1451</v>
      </c>
      <c r="D516" s="2" t="s">
        <v>27</v>
      </c>
      <c r="E516" s="0" t="str">
        <f aca="false">VLOOKUP(D516,Fornitori!$A$2:$C$6,2,FALSE())</f>
        <v>Guarnizioni Alpi</v>
      </c>
      <c r="F516" s="0" t="n">
        <v>1</v>
      </c>
      <c r="G516" s="0" t="n">
        <v>12</v>
      </c>
      <c r="H516" s="0" t="str">
        <f aca="false">IF(F516&lt;G516,"SI","NO")</f>
        <v>SI</v>
      </c>
    </row>
    <row r="517" customFormat="false" ht="15" hidden="false" customHeight="false" outlineLevel="0" collapsed="false">
      <c r="A517" s="0" t="s">
        <v>1452</v>
      </c>
      <c r="B517" s="0" t="s">
        <v>1453</v>
      </c>
      <c r="C517" s="0" t="s">
        <v>1454</v>
      </c>
      <c r="D517" s="2" t="s">
        <v>11</v>
      </c>
      <c r="E517" s="0" t="str">
        <f aca="false">VLOOKUP(D517,Fornitori!$A$2:$C$6,2,FALSE())</f>
        <v>Meccanica Bassi S.r.l.</v>
      </c>
      <c r="F517" s="0" t="n">
        <v>46</v>
      </c>
      <c r="G517" s="0" t="n">
        <v>9</v>
      </c>
      <c r="H517" s="0" t="str">
        <f aca="false">IF(F517&lt;G517,"SI","NO")</f>
        <v>NO</v>
      </c>
    </row>
    <row r="518" customFormat="false" ht="15" hidden="false" customHeight="false" outlineLevel="0" collapsed="false">
      <c r="A518" s="0" t="s">
        <v>1455</v>
      </c>
      <c r="B518" s="0" t="s">
        <v>1456</v>
      </c>
      <c r="C518" s="0" t="s">
        <v>1457</v>
      </c>
      <c r="D518" s="2" t="s">
        <v>15</v>
      </c>
      <c r="E518" s="0" t="str">
        <f aca="false">VLOOKUP(D518,Fornitori!$A$2:$C$6,2,FALSE())</f>
        <v>Rulmeca Italia</v>
      </c>
      <c r="F518" s="0" t="n">
        <v>16</v>
      </c>
      <c r="G518" s="0" t="n">
        <v>16</v>
      </c>
      <c r="H518" s="0" t="str">
        <f aca="false">IF(F518&lt;G518,"SI","NO")</f>
        <v>NO</v>
      </c>
    </row>
    <row r="519" customFormat="false" ht="15" hidden="false" customHeight="false" outlineLevel="0" collapsed="false">
      <c r="A519" s="0" t="s">
        <v>1458</v>
      </c>
      <c r="B519" s="0" t="s">
        <v>1459</v>
      </c>
      <c r="C519" s="0" t="s">
        <v>1460</v>
      </c>
      <c r="D519" s="2" t="s">
        <v>19</v>
      </c>
      <c r="E519" s="0" t="str">
        <f aca="false">VLOOKUP(D519,Fornitori!$A$2:$C$6,2,FALSE())</f>
        <v>Elettrotecnica Ferri</v>
      </c>
      <c r="F519" s="0" t="n">
        <v>27</v>
      </c>
      <c r="G519" s="0" t="n">
        <v>23</v>
      </c>
      <c r="H519" s="0" t="str">
        <f aca="false">IF(F519&lt;G519,"SI","NO")</f>
        <v>NO</v>
      </c>
    </row>
    <row r="520" customFormat="false" ht="15" hidden="false" customHeight="false" outlineLevel="0" collapsed="false">
      <c r="A520" s="0" t="s">
        <v>1461</v>
      </c>
      <c r="B520" s="0" t="s">
        <v>1462</v>
      </c>
      <c r="C520" s="0" t="s">
        <v>1463</v>
      </c>
      <c r="D520" s="2" t="s">
        <v>23</v>
      </c>
      <c r="E520" s="0" t="str">
        <f aca="false">VLOOKUP(D520,Fornitori!$A$2:$C$6,2,FALSE())</f>
        <v>Pneumax Service</v>
      </c>
      <c r="F520" s="0" t="n">
        <v>50</v>
      </c>
      <c r="G520" s="0" t="n">
        <v>9</v>
      </c>
      <c r="H520" s="0" t="str">
        <f aca="false">IF(F520&lt;G520,"SI","NO")</f>
        <v>NO</v>
      </c>
    </row>
    <row r="521" customFormat="false" ht="15" hidden="false" customHeight="false" outlineLevel="0" collapsed="false">
      <c r="A521" s="0" t="s">
        <v>1464</v>
      </c>
      <c r="B521" s="0" t="s">
        <v>1465</v>
      </c>
      <c r="C521" s="0" t="s">
        <v>1466</v>
      </c>
      <c r="D521" s="2" t="s">
        <v>27</v>
      </c>
      <c r="E521" s="0" t="str">
        <f aca="false">VLOOKUP(D521,Fornitori!$A$2:$C$6,2,FALSE())</f>
        <v>Guarnizioni Alpi</v>
      </c>
      <c r="F521" s="0" t="n">
        <v>32</v>
      </c>
      <c r="G521" s="0" t="n">
        <v>12</v>
      </c>
      <c r="H521" s="0" t="str">
        <f aca="false">IF(F521&lt;G521,"SI","NO")</f>
        <v>NO</v>
      </c>
    </row>
    <row r="522" customFormat="false" ht="15" hidden="false" customHeight="false" outlineLevel="0" collapsed="false">
      <c r="A522" s="0" t="s">
        <v>1467</v>
      </c>
      <c r="B522" s="0" t="s">
        <v>1468</v>
      </c>
      <c r="C522" s="0" t="s">
        <v>1469</v>
      </c>
      <c r="D522" s="2" t="s">
        <v>11</v>
      </c>
      <c r="E522" s="0" t="str">
        <f aca="false">VLOOKUP(D522,Fornitori!$A$2:$C$6,2,FALSE())</f>
        <v>Meccanica Bassi S.r.l.</v>
      </c>
      <c r="F522" s="0" t="n">
        <v>45</v>
      </c>
      <c r="G522" s="0" t="n">
        <v>15</v>
      </c>
      <c r="H522" s="0" t="str">
        <f aca="false">IF(F522&lt;G522,"SI","NO")</f>
        <v>NO</v>
      </c>
    </row>
    <row r="523" customFormat="false" ht="15" hidden="false" customHeight="false" outlineLevel="0" collapsed="false">
      <c r="A523" s="0" t="s">
        <v>1470</v>
      </c>
      <c r="B523" s="0" t="s">
        <v>1471</v>
      </c>
      <c r="C523" s="0" t="s">
        <v>1472</v>
      </c>
      <c r="D523" s="2" t="s">
        <v>15</v>
      </c>
      <c r="E523" s="0" t="str">
        <f aca="false">VLOOKUP(D523,Fornitori!$A$2:$C$6,2,FALSE())</f>
        <v>Rulmeca Italia</v>
      </c>
      <c r="F523" s="0" t="n">
        <v>15</v>
      </c>
      <c r="G523" s="0" t="n">
        <v>16</v>
      </c>
      <c r="H523" s="0" t="str">
        <f aca="false">IF(F523&lt;G523,"SI","NO")</f>
        <v>SI</v>
      </c>
    </row>
    <row r="524" customFormat="false" ht="15" hidden="false" customHeight="false" outlineLevel="0" collapsed="false">
      <c r="A524" s="0" t="s">
        <v>1473</v>
      </c>
      <c r="B524" s="0" t="s">
        <v>1474</v>
      </c>
      <c r="C524" s="0" t="s">
        <v>671</v>
      </c>
      <c r="D524" s="2" t="s">
        <v>19</v>
      </c>
      <c r="E524" s="0" t="str">
        <f aca="false">VLOOKUP(D524,Fornitori!$A$2:$C$6,2,FALSE())</f>
        <v>Elettrotecnica Ferri</v>
      </c>
      <c r="F524" s="0" t="n">
        <v>55</v>
      </c>
      <c r="G524" s="0" t="n">
        <v>19</v>
      </c>
      <c r="H524" s="0" t="str">
        <f aca="false">IF(F524&lt;G524,"SI","NO")</f>
        <v>NO</v>
      </c>
    </row>
    <row r="525" customFormat="false" ht="15" hidden="false" customHeight="false" outlineLevel="0" collapsed="false">
      <c r="A525" s="0" t="s">
        <v>1475</v>
      </c>
      <c r="B525" s="0" t="s">
        <v>1476</v>
      </c>
      <c r="C525" s="0" t="s">
        <v>1063</v>
      </c>
      <c r="D525" s="2" t="s">
        <v>23</v>
      </c>
      <c r="E525" s="0" t="str">
        <f aca="false">VLOOKUP(D525,Fornitori!$A$2:$C$6,2,FALSE())</f>
        <v>Pneumax Service</v>
      </c>
      <c r="F525" s="0" t="n">
        <v>19</v>
      </c>
      <c r="G525" s="0" t="n">
        <v>10</v>
      </c>
      <c r="H525" s="0" t="str">
        <f aca="false">IF(F525&lt;G525,"SI","NO")</f>
        <v>NO</v>
      </c>
    </row>
    <row r="526" customFormat="false" ht="15" hidden="false" customHeight="false" outlineLevel="0" collapsed="false">
      <c r="A526" s="0" t="s">
        <v>1477</v>
      </c>
      <c r="B526" s="0" t="s">
        <v>1478</v>
      </c>
      <c r="C526" s="0" t="s">
        <v>1479</v>
      </c>
      <c r="D526" s="2" t="s">
        <v>27</v>
      </c>
      <c r="E526" s="0" t="str">
        <f aca="false">VLOOKUP(D526,Fornitori!$A$2:$C$6,2,FALSE())</f>
        <v>Guarnizioni Alpi</v>
      </c>
      <c r="F526" s="0" t="n">
        <v>16</v>
      </c>
      <c r="G526" s="0" t="n">
        <v>23</v>
      </c>
      <c r="H526" s="0" t="str">
        <f aca="false">IF(F526&lt;G526,"SI","NO")</f>
        <v>SI</v>
      </c>
    </row>
    <row r="527" customFormat="false" ht="15" hidden="false" customHeight="false" outlineLevel="0" collapsed="false">
      <c r="A527" s="0" t="s">
        <v>1480</v>
      </c>
      <c r="B527" s="0" t="s">
        <v>1481</v>
      </c>
      <c r="C527" s="0" t="s">
        <v>1042</v>
      </c>
      <c r="D527" s="2" t="s">
        <v>11</v>
      </c>
      <c r="E527" s="0" t="str">
        <f aca="false">VLOOKUP(D527,Fornitori!$A$2:$C$6,2,FALSE())</f>
        <v>Meccanica Bassi S.r.l.</v>
      </c>
      <c r="F527" s="0" t="n">
        <v>37</v>
      </c>
      <c r="G527" s="0" t="n">
        <v>10</v>
      </c>
      <c r="H527" s="0" t="str">
        <f aca="false">IF(F527&lt;G527,"SI","NO")</f>
        <v>NO</v>
      </c>
    </row>
    <row r="528" customFormat="false" ht="15" hidden="false" customHeight="false" outlineLevel="0" collapsed="false">
      <c r="A528" s="0" t="s">
        <v>1482</v>
      </c>
      <c r="B528" s="0" t="s">
        <v>1483</v>
      </c>
      <c r="C528" s="0" t="s">
        <v>1484</v>
      </c>
      <c r="D528" s="2" t="s">
        <v>15</v>
      </c>
      <c r="E528" s="0" t="str">
        <f aca="false">VLOOKUP(D528,Fornitori!$A$2:$C$6,2,FALSE())</f>
        <v>Rulmeca Italia</v>
      </c>
      <c r="F528" s="0" t="n">
        <v>49</v>
      </c>
      <c r="G528" s="0" t="n">
        <v>18</v>
      </c>
      <c r="H528" s="0" t="str">
        <f aca="false">IF(F528&lt;G528,"SI","NO")</f>
        <v>NO</v>
      </c>
    </row>
    <row r="529" customFormat="false" ht="15" hidden="false" customHeight="false" outlineLevel="0" collapsed="false">
      <c r="A529" s="0" t="s">
        <v>1485</v>
      </c>
      <c r="B529" s="0" t="s">
        <v>1486</v>
      </c>
      <c r="C529" s="0" t="s">
        <v>191</v>
      </c>
      <c r="D529" s="2" t="s">
        <v>19</v>
      </c>
      <c r="E529" s="0" t="str">
        <f aca="false">VLOOKUP(D529,Fornitori!$A$2:$C$6,2,FALSE())</f>
        <v>Elettrotecnica Ferri</v>
      </c>
      <c r="F529" s="0" t="n">
        <v>57</v>
      </c>
      <c r="G529" s="0" t="n">
        <v>13</v>
      </c>
      <c r="H529" s="0" t="str">
        <f aca="false">IF(F529&lt;G529,"SI","NO")</f>
        <v>NO</v>
      </c>
    </row>
    <row r="530" customFormat="false" ht="15" hidden="false" customHeight="false" outlineLevel="0" collapsed="false">
      <c r="A530" s="0" t="s">
        <v>1487</v>
      </c>
      <c r="B530" s="0" t="s">
        <v>1488</v>
      </c>
      <c r="C530" s="0" t="s">
        <v>1489</v>
      </c>
      <c r="D530" s="2" t="s">
        <v>23</v>
      </c>
      <c r="E530" s="0" t="str">
        <f aca="false">VLOOKUP(D530,Fornitori!$A$2:$C$6,2,FALSE())</f>
        <v>Pneumax Service</v>
      </c>
      <c r="F530" s="0" t="n">
        <v>1</v>
      </c>
      <c r="G530" s="0" t="n">
        <v>11</v>
      </c>
      <c r="H530" s="0" t="str">
        <f aca="false">IF(F530&lt;G530,"SI","NO")</f>
        <v>SI</v>
      </c>
    </row>
    <row r="531" customFormat="false" ht="15" hidden="false" customHeight="false" outlineLevel="0" collapsed="false">
      <c r="A531" s="0" t="s">
        <v>1490</v>
      </c>
      <c r="B531" s="0" t="s">
        <v>873</v>
      </c>
      <c r="C531" s="0" t="s">
        <v>1491</v>
      </c>
      <c r="D531" s="2" t="s">
        <v>27</v>
      </c>
      <c r="E531" s="0" t="str">
        <f aca="false">VLOOKUP(D531,Fornitori!$A$2:$C$6,2,FALSE())</f>
        <v>Guarnizioni Alpi</v>
      </c>
      <c r="F531" s="0" t="n">
        <v>38</v>
      </c>
      <c r="G531" s="0" t="n">
        <v>14</v>
      </c>
      <c r="H531" s="0" t="str">
        <f aca="false">IF(F531&lt;G531,"SI","NO")</f>
        <v>NO</v>
      </c>
    </row>
    <row r="532" customFormat="false" ht="15" hidden="false" customHeight="false" outlineLevel="0" collapsed="false">
      <c r="A532" s="0" t="s">
        <v>1492</v>
      </c>
      <c r="B532" s="0" t="s">
        <v>1493</v>
      </c>
      <c r="C532" s="0" t="s">
        <v>1494</v>
      </c>
      <c r="D532" s="2" t="s">
        <v>11</v>
      </c>
      <c r="E532" s="0" t="str">
        <f aca="false">VLOOKUP(D532,Fornitori!$A$2:$C$6,2,FALSE())</f>
        <v>Meccanica Bassi S.r.l.</v>
      </c>
      <c r="F532" s="0" t="n">
        <v>8</v>
      </c>
      <c r="G532" s="0" t="n">
        <v>24</v>
      </c>
      <c r="H532" s="0" t="str">
        <f aca="false">IF(F532&lt;G532,"SI","NO")</f>
        <v>SI</v>
      </c>
    </row>
    <row r="533" customFormat="false" ht="15" hidden="false" customHeight="false" outlineLevel="0" collapsed="false">
      <c r="A533" s="0" t="s">
        <v>1495</v>
      </c>
      <c r="B533" s="0" t="s">
        <v>1496</v>
      </c>
      <c r="C533" s="0" t="s">
        <v>461</v>
      </c>
      <c r="D533" s="2" t="s">
        <v>15</v>
      </c>
      <c r="E533" s="0" t="str">
        <f aca="false">VLOOKUP(D533,Fornitori!$A$2:$C$6,2,FALSE())</f>
        <v>Rulmeca Italia</v>
      </c>
      <c r="F533" s="0" t="n">
        <v>46</v>
      </c>
      <c r="G533" s="0" t="n">
        <v>9</v>
      </c>
      <c r="H533" s="0" t="str">
        <f aca="false">IF(F533&lt;G533,"SI","NO")</f>
        <v>NO</v>
      </c>
    </row>
    <row r="534" customFormat="false" ht="15" hidden="false" customHeight="false" outlineLevel="0" collapsed="false">
      <c r="A534" s="0" t="s">
        <v>1497</v>
      </c>
      <c r="B534" s="0" t="s">
        <v>1498</v>
      </c>
      <c r="C534" s="0" t="s">
        <v>398</v>
      </c>
      <c r="D534" s="2" t="s">
        <v>19</v>
      </c>
      <c r="E534" s="0" t="str">
        <f aca="false">VLOOKUP(D534,Fornitori!$A$2:$C$6,2,FALSE())</f>
        <v>Elettrotecnica Ferri</v>
      </c>
      <c r="F534" s="0" t="n">
        <v>56</v>
      </c>
      <c r="G534" s="0" t="n">
        <v>5</v>
      </c>
      <c r="H534" s="0" t="str">
        <f aca="false">IF(F534&lt;G534,"SI","NO")</f>
        <v>NO</v>
      </c>
    </row>
    <row r="535" customFormat="false" ht="15" hidden="false" customHeight="false" outlineLevel="0" collapsed="false">
      <c r="A535" s="0" t="s">
        <v>1499</v>
      </c>
      <c r="B535" s="0" t="s">
        <v>1500</v>
      </c>
      <c r="C535" s="0" t="s">
        <v>1501</v>
      </c>
      <c r="D535" s="2" t="s">
        <v>23</v>
      </c>
      <c r="E535" s="0" t="str">
        <f aca="false">VLOOKUP(D535,Fornitori!$A$2:$C$6,2,FALSE())</f>
        <v>Pneumax Service</v>
      </c>
      <c r="F535" s="0" t="n">
        <v>55</v>
      </c>
      <c r="G535" s="0" t="n">
        <v>5</v>
      </c>
      <c r="H535" s="0" t="str">
        <f aca="false">IF(F535&lt;G535,"SI","NO")</f>
        <v>NO</v>
      </c>
    </row>
    <row r="536" customFormat="false" ht="15" hidden="false" customHeight="false" outlineLevel="0" collapsed="false">
      <c r="A536" s="0" t="s">
        <v>1502</v>
      </c>
      <c r="B536" s="0" t="s">
        <v>379</v>
      </c>
      <c r="C536" s="0" t="s">
        <v>259</v>
      </c>
      <c r="D536" s="2" t="s">
        <v>27</v>
      </c>
      <c r="E536" s="0" t="str">
        <f aca="false">VLOOKUP(D536,Fornitori!$A$2:$C$6,2,FALSE())</f>
        <v>Guarnizioni Alpi</v>
      </c>
      <c r="F536" s="0" t="n">
        <v>55</v>
      </c>
      <c r="G536" s="0" t="n">
        <v>18</v>
      </c>
      <c r="H536" s="0" t="str">
        <f aca="false">IF(F536&lt;G536,"SI","NO")</f>
        <v>NO</v>
      </c>
    </row>
    <row r="537" customFormat="false" ht="15" hidden="false" customHeight="false" outlineLevel="0" collapsed="false">
      <c r="A537" s="0" t="s">
        <v>1503</v>
      </c>
      <c r="B537" s="0" t="s">
        <v>1504</v>
      </c>
      <c r="C537" s="0" t="s">
        <v>1505</v>
      </c>
      <c r="D537" s="2" t="s">
        <v>11</v>
      </c>
      <c r="E537" s="0" t="str">
        <f aca="false">VLOOKUP(D537,Fornitori!$A$2:$C$6,2,FALSE())</f>
        <v>Meccanica Bassi S.r.l.</v>
      </c>
      <c r="F537" s="0" t="n">
        <v>25</v>
      </c>
      <c r="G537" s="0" t="n">
        <v>13</v>
      </c>
      <c r="H537" s="0" t="str">
        <f aca="false">IF(F537&lt;G537,"SI","NO")</f>
        <v>NO</v>
      </c>
    </row>
    <row r="538" customFormat="false" ht="15" hidden="false" customHeight="false" outlineLevel="0" collapsed="false">
      <c r="A538" s="0" t="s">
        <v>1506</v>
      </c>
      <c r="B538" s="0" t="s">
        <v>1507</v>
      </c>
      <c r="C538" s="0" t="s">
        <v>1508</v>
      </c>
      <c r="D538" s="2" t="s">
        <v>15</v>
      </c>
      <c r="E538" s="0" t="str">
        <f aca="false">VLOOKUP(D538,Fornitori!$A$2:$C$6,2,FALSE())</f>
        <v>Rulmeca Italia</v>
      </c>
      <c r="F538" s="0" t="n">
        <v>41</v>
      </c>
      <c r="G538" s="0" t="n">
        <v>15</v>
      </c>
      <c r="H538" s="0" t="str">
        <f aca="false">IF(F538&lt;G538,"SI","NO")</f>
        <v>NO</v>
      </c>
    </row>
    <row r="539" customFormat="false" ht="15" hidden="false" customHeight="false" outlineLevel="0" collapsed="false">
      <c r="A539" s="0" t="s">
        <v>1509</v>
      </c>
      <c r="B539" s="0" t="s">
        <v>1510</v>
      </c>
      <c r="C539" s="0" t="s">
        <v>1511</v>
      </c>
      <c r="D539" s="2" t="s">
        <v>19</v>
      </c>
      <c r="E539" s="0" t="str">
        <f aca="false">VLOOKUP(D539,Fornitori!$A$2:$C$6,2,FALSE())</f>
        <v>Elettrotecnica Ferri</v>
      </c>
      <c r="F539" s="0" t="n">
        <v>1</v>
      </c>
      <c r="G539" s="0" t="n">
        <v>9</v>
      </c>
      <c r="H539" s="0" t="str">
        <f aca="false">IF(F539&lt;G539,"SI","NO")</f>
        <v>SI</v>
      </c>
    </row>
    <row r="540" customFormat="false" ht="15" hidden="false" customHeight="false" outlineLevel="0" collapsed="false">
      <c r="A540" s="0" t="s">
        <v>1512</v>
      </c>
      <c r="B540" s="0" t="s">
        <v>1513</v>
      </c>
      <c r="C540" s="0" t="s">
        <v>1514</v>
      </c>
      <c r="D540" s="2" t="s">
        <v>23</v>
      </c>
      <c r="E540" s="0" t="str">
        <f aca="false">VLOOKUP(D540,Fornitori!$A$2:$C$6,2,FALSE())</f>
        <v>Pneumax Service</v>
      </c>
      <c r="F540" s="0" t="n">
        <v>23</v>
      </c>
      <c r="G540" s="0" t="n">
        <v>18</v>
      </c>
      <c r="H540" s="0" t="str">
        <f aca="false">IF(F540&lt;G540,"SI","NO")</f>
        <v>NO</v>
      </c>
    </row>
    <row r="541" customFormat="false" ht="15" hidden="false" customHeight="false" outlineLevel="0" collapsed="false">
      <c r="A541" s="0" t="s">
        <v>1515</v>
      </c>
      <c r="B541" s="0" t="s">
        <v>1516</v>
      </c>
      <c r="C541" s="0" t="s">
        <v>1517</v>
      </c>
      <c r="D541" s="2" t="s">
        <v>27</v>
      </c>
      <c r="E541" s="0" t="str">
        <f aca="false">VLOOKUP(D541,Fornitori!$A$2:$C$6,2,FALSE())</f>
        <v>Guarnizioni Alpi</v>
      </c>
      <c r="F541" s="0" t="n">
        <v>36</v>
      </c>
      <c r="G541" s="0" t="n">
        <v>15</v>
      </c>
      <c r="H541" s="0" t="str">
        <f aca="false">IF(F541&lt;G541,"SI","NO")</f>
        <v>NO</v>
      </c>
    </row>
    <row r="542" customFormat="false" ht="15" hidden="false" customHeight="false" outlineLevel="0" collapsed="false">
      <c r="A542" s="0" t="s">
        <v>1518</v>
      </c>
      <c r="B542" s="0" t="s">
        <v>1519</v>
      </c>
      <c r="C542" s="0" t="s">
        <v>1397</v>
      </c>
      <c r="D542" s="2" t="s">
        <v>11</v>
      </c>
      <c r="E542" s="0" t="str">
        <f aca="false">VLOOKUP(D542,Fornitori!$A$2:$C$6,2,FALSE())</f>
        <v>Meccanica Bassi S.r.l.</v>
      </c>
      <c r="F542" s="0" t="n">
        <v>48</v>
      </c>
      <c r="G542" s="0" t="n">
        <v>6</v>
      </c>
      <c r="H542" s="0" t="str">
        <f aca="false">IF(F542&lt;G542,"SI","NO")</f>
        <v>NO</v>
      </c>
    </row>
    <row r="543" customFormat="false" ht="15" hidden="false" customHeight="false" outlineLevel="0" collapsed="false">
      <c r="A543" s="0" t="s">
        <v>1520</v>
      </c>
      <c r="B543" s="0" t="s">
        <v>1521</v>
      </c>
      <c r="C543" s="0" t="s">
        <v>1522</v>
      </c>
      <c r="D543" s="2" t="s">
        <v>15</v>
      </c>
      <c r="E543" s="0" t="str">
        <f aca="false">VLOOKUP(D543,Fornitori!$A$2:$C$6,2,FALSE())</f>
        <v>Rulmeca Italia</v>
      </c>
      <c r="F543" s="0" t="n">
        <v>23</v>
      </c>
      <c r="G543" s="0" t="n">
        <v>21</v>
      </c>
      <c r="H543" s="0" t="str">
        <f aca="false">IF(F543&lt;G543,"SI","NO")</f>
        <v>NO</v>
      </c>
    </row>
    <row r="544" customFormat="false" ht="15" hidden="false" customHeight="false" outlineLevel="0" collapsed="false">
      <c r="A544" s="0" t="s">
        <v>1523</v>
      </c>
      <c r="B544" s="0" t="s">
        <v>1445</v>
      </c>
      <c r="C544" s="0" t="s">
        <v>1524</v>
      </c>
      <c r="D544" s="2" t="s">
        <v>19</v>
      </c>
      <c r="E544" s="0" t="str">
        <f aca="false">VLOOKUP(D544,Fornitori!$A$2:$C$6,2,FALSE())</f>
        <v>Elettrotecnica Ferri</v>
      </c>
      <c r="F544" s="0" t="n">
        <v>30</v>
      </c>
      <c r="G544" s="0" t="n">
        <v>8</v>
      </c>
      <c r="H544" s="0" t="str">
        <f aca="false">IF(F544&lt;G544,"SI","NO")</f>
        <v>NO</v>
      </c>
    </row>
    <row r="545" customFormat="false" ht="15" hidden="false" customHeight="false" outlineLevel="0" collapsed="false">
      <c r="A545" s="0" t="s">
        <v>1525</v>
      </c>
      <c r="B545" s="0" t="s">
        <v>1526</v>
      </c>
      <c r="C545" s="0" t="s">
        <v>580</v>
      </c>
      <c r="D545" s="2" t="s">
        <v>23</v>
      </c>
      <c r="E545" s="0" t="str">
        <f aca="false">VLOOKUP(D545,Fornitori!$A$2:$C$6,2,FALSE())</f>
        <v>Pneumax Service</v>
      </c>
      <c r="F545" s="0" t="n">
        <v>5</v>
      </c>
      <c r="G545" s="0" t="n">
        <v>5</v>
      </c>
      <c r="H545" s="0" t="str">
        <f aca="false">IF(F545&lt;G545,"SI","NO")</f>
        <v>NO</v>
      </c>
    </row>
    <row r="546" customFormat="false" ht="15" hidden="false" customHeight="false" outlineLevel="0" collapsed="false">
      <c r="A546" s="0" t="s">
        <v>1527</v>
      </c>
      <c r="B546" s="0" t="s">
        <v>1528</v>
      </c>
      <c r="C546" s="0" t="s">
        <v>1529</v>
      </c>
      <c r="D546" s="2" t="s">
        <v>27</v>
      </c>
      <c r="E546" s="0" t="str">
        <f aca="false">VLOOKUP(D546,Fornitori!$A$2:$C$6,2,FALSE())</f>
        <v>Guarnizioni Alpi</v>
      </c>
      <c r="F546" s="0" t="n">
        <v>13</v>
      </c>
      <c r="G546" s="0" t="n">
        <v>22</v>
      </c>
      <c r="H546" s="0" t="str">
        <f aca="false">IF(F546&lt;G546,"SI","NO")</f>
        <v>SI</v>
      </c>
    </row>
    <row r="547" customFormat="false" ht="15" hidden="false" customHeight="false" outlineLevel="0" collapsed="false">
      <c r="A547" s="0" t="s">
        <v>1530</v>
      </c>
      <c r="B547" s="0" t="s">
        <v>1531</v>
      </c>
      <c r="C547" s="0" t="s">
        <v>1532</v>
      </c>
      <c r="D547" s="2" t="s">
        <v>11</v>
      </c>
      <c r="E547" s="0" t="str">
        <f aca="false">VLOOKUP(D547,Fornitori!$A$2:$C$6,2,FALSE())</f>
        <v>Meccanica Bassi S.r.l.</v>
      </c>
      <c r="F547" s="0" t="n">
        <v>57</v>
      </c>
      <c r="G547" s="0" t="n">
        <v>10</v>
      </c>
      <c r="H547" s="0" t="str">
        <f aca="false">IF(F547&lt;G547,"SI","NO")</f>
        <v>NO</v>
      </c>
    </row>
    <row r="548" customFormat="false" ht="15" hidden="false" customHeight="false" outlineLevel="0" collapsed="false">
      <c r="A548" s="0" t="s">
        <v>1533</v>
      </c>
      <c r="B548" s="0" t="s">
        <v>1534</v>
      </c>
      <c r="C548" s="0" t="s">
        <v>1535</v>
      </c>
      <c r="D548" s="2" t="s">
        <v>15</v>
      </c>
      <c r="E548" s="0" t="str">
        <f aca="false">VLOOKUP(D548,Fornitori!$A$2:$C$6,2,FALSE())</f>
        <v>Rulmeca Italia</v>
      </c>
      <c r="F548" s="0" t="n">
        <v>45</v>
      </c>
      <c r="G548" s="0" t="n">
        <v>12</v>
      </c>
      <c r="H548" s="0" t="str">
        <f aca="false">IF(F548&lt;G548,"SI","NO")</f>
        <v>NO</v>
      </c>
    </row>
    <row r="549" customFormat="false" ht="15" hidden="false" customHeight="false" outlineLevel="0" collapsed="false">
      <c r="A549" s="0" t="s">
        <v>1536</v>
      </c>
      <c r="B549" s="0" t="s">
        <v>1537</v>
      </c>
      <c r="C549" s="0" t="s">
        <v>1366</v>
      </c>
      <c r="D549" s="2" t="s">
        <v>19</v>
      </c>
      <c r="E549" s="0" t="str">
        <f aca="false">VLOOKUP(D549,Fornitori!$A$2:$C$6,2,FALSE())</f>
        <v>Elettrotecnica Ferri</v>
      </c>
      <c r="F549" s="0" t="n">
        <v>57</v>
      </c>
      <c r="G549" s="0" t="n">
        <v>17</v>
      </c>
      <c r="H549" s="0" t="str">
        <f aca="false">IF(F549&lt;G549,"SI","NO")</f>
        <v>NO</v>
      </c>
    </row>
    <row r="550" customFormat="false" ht="15" hidden="false" customHeight="false" outlineLevel="0" collapsed="false">
      <c r="A550" s="0" t="s">
        <v>1538</v>
      </c>
      <c r="B550" s="0" t="s">
        <v>1539</v>
      </c>
      <c r="C550" s="0" t="s">
        <v>1540</v>
      </c>
      <c r="D550" s="2" t="s">
        <v>23</v>
      </c>
      <c r="E550" s="0" t="str">
        <f aca="false">VLOOKUP(D550,Fornitori!$A$2:$C$6,2,FALSE())</f>
        <v>Pneumax Service</v>
      </c>
      <c r="F550" s="0" t="n">
        <v>42</v>
      </c>
      <c r="G550" s="0" t="n">
        <v>5</v>
      </c>
      <c r="H550" s="0" t="str">
        <f aca="false">IF(F550&lt;G550,"SI","NO")</f>
        <v>NO</v>
      </c>
    </row>
    <row r="551" customFormat="false" ht="15" hidden="false" customHeight="false" outlineLevel="0" collapsed="false">
      <c r="A551" s="0" t="s">
        <v>1541</v>
      </c>
      <c r="B551" s="0" t="s">
        <v>1542</v>
      </c>
      <c r="C551" s="0" t="s">
        <v>1543</v>
      </c>
      <c r="D551" s="2" t="s">
        <v>27</v>
      </c>
      <c r="E551" s="0" t="str">
        <f aca="false">VLOOKUP(D551,Fornitori!$A$2:$C$6,2,FALSE())</f>
        <v>Guarnizioni Alpi</v>
      </c>
      <c r="F551" s="0" t="n">
        <v>22</v>
      </c>
      <c r="G551" s="0" t="n">
        <v>6</v>
      </c>
      <c r="H551" s="0" t="str">
        <f aca="false">IF(F551&lt;G551,"SI","NO")</f>
        <v>NO</v>
      </c>
    </row>
    <row r="552" customFormat="false" ht="15" hidden="false" customHeight="false" outlineLevel="0" collapsed="false">
      <c r="A552" s="0" t="s">
        <v>1544</v>
      </c>
      <c r="B552" s="0" t="s">
        <v>1545</v>
      </c>
      <c r="C552" s="0" t="s">
        <v>87</v>
      </c>
      <c r="D552" s="2" t="s">
        <v>11</v>
      </c>
      <c r="E552" s="0" t="str">
        <f aca="false">VLOOKUP(D552,Fornitori!$A$2:$C$6,2,FALSE())</f>
        <v>Meccanica Bassi S.r.l.</v>
      </c>
      <c r="F552" s="0" t="n">
        <v>42</v>
      </c>
      <c r="G552" s="0" t="n">
        <v>12</v>
      </c>
      <c r="H552" s="0" t="str">
        <f aca="false">IF(F552&lt;G552,"SI","NO")</f>
        <v>NO</v>
      </c>
    </row>
    <row r="553" customFormat="false" ht="15" hidden="false" customHeight="false" outlineLevel="0" collapsed="false">
      <c r="A553" s="0" t="s">
        <v>1546</v>
      </c>
      <c r="B553" s="0" t="s">
        <v>1547</v>
      </c>
      <c r="C553" s="0" t="s">
        <v>1548</v>
      </c>
      <c r="D553" s="2" t="s">
        <v>15</v>
      </c>
      <c r="E553" s="0" t="str">
        <f aca="false">VLOOKUP(D553,Fornitori!$A$2:$C$6,2,FALSE())</f>
        <v>Rulmeca Italia</v>
      </c>
      <c r="F553" s="0" t="n">
        <v>27</v>
      </c>
      <c r="G553" s="0" t="n">
        <v>12</v>
      </c>
      <c r="H553" s="0" t="str">
        <f aca="false">IF(F553&lt;G553,"SI","NO")</f>
        <v>NO</v>
      </c>
    </row>
    <row r="554" customFormat="false" ht="15" hidden="false" customHeight="false" outlineLevel="0" collapsed="false">
      <c r="A554" s="0" t="s">
        <v>1549</v>
      </c>
      <c r="B554" s="0" t="s">
        <v>199</v>
      </c>
      <c r="C554" s="0" t="s">
        <v>969</v>
      </c>
      <c r="D554" s="2" t="s">
        <v>19</v>
      </c>
      <c r="E554" s="0" t="str">
        <f aca="false">VLOOKUP(D554,Fornitori!$A$2:$C$6,2,FALSE())</f>
        <v>Elettrotecnica Ferri</v>
      </c>
      <c r="F554" s="0" t="n">
        <v>27</v>
      </c>
      <c r="G554" s="0" t="n">
        <v>13</v>
      </c>
      <c r="H554" s="0" t="str">
        <f aca="false">IF(F554&lt;G554,"SI","NO")</f>
        <v>NO</v>
      </c>
    </row>
    <row r="555" customFormat="false" ht="15" hidden="false" customHeight="false" outlineLevel="0" collapsed="false">
      <c r="A555" s="0" t="s">
        <v>1550</v>
      </c>
      <c r="B555" s="0" t="s">
        <v>1551</v>
      </c>
      <c r="C555" s="0" t="s">
        <v>119</v>
      </c>
      <c r="D555" s="2" t="s">
        <v>23</v>
      </c>
      <c r="E555" s="0" t="str">
        <f aca="false">VLOOKUP(D555,Fornitori!$A$2:$C$6,2,FALSE())</f>
        <v>Pneumax Service</v>
      </c>
      <c r="F555" s="0" t="n">
        <v>10</v>
      </c>
      <c r="G555" s="0" t="n">
        <v>20</v>
      </c>
      <c r="H555" s="0" t="str">
        <f aca="false">IF(F555&lt;G555,"SI","NO")</f>
        <v>SI</v>
      </c>
    </row>
    <row r="556" customFormat="false" ht="15" hidden="false" customHeight="false" outlineLevel="0" collapsed="false">
      <c r="A556" s="0" t="s">
        <v>1552</v>
      </c>
      <c r="B556" s="0" t="s">
        <v>1553</v>
      </c>
      <c r="C556" s="0" t="s">
        <v>1554</v>
      </c>
      <c r="D556" s="2" t="s">
        <v>27</v>
      </c>
      <c r="E556" s="0" t="str">
        <f aca="false">VLOOKUP(D556,Fornitori!$A$2:$C$6,2,FALSE())</f>
        <v>Guarnizioni Alpi</v>
      </c>
      <c r="F556" s="0" t="n">
        <v>21</v>
      </c>
      <c r="G556" s="0" t="n">
        <v>5</v>
      </c>
      <c r="H556" s="0" t="str">
        <f aca="false">IF(F556&lt;G556,"SI","NO")</f>
        <v>NO</v>
      </c>
    </row>
    <row r="557" customFormat="false" ht="15" hidden="false" customHeight="false" outlineLevel="0" collapsed="false">
      <c r="A557" s="0" t="s">
        <v>1555</v>
      </c>
      <c r="B557" s="0" t="s">
        <v>1556</v>
      </c>
      <c r="C557" s="0" t="s">
        <v>1557</v>
      </c>
      <c r="D557" s="2" t="s">
        <v>11</v>
      </c>
      <c r="E557" s="0" t="str">
        <f aca="false">VLOOKUP(D557,Fornitori!$A$2:$C$6,2,FALSE())</f>
        <v>Meccanica Bassi S.r.l.</v>
      </c>
      <c r="F557" s="0" t="n">
        <v>39</v>
      </c>
      <c r="G557" s="0" t="n">
        <v>24</v>
      </c>
      <c r="H557" s="0" t="str">
        <f aca="false">IF(F557&lt;G557,"SI","NO")</f>
        <v>NO</v>
      </c>
    </row>
    <row r="558" customFormat="false" ht="15" hidden="false" customHeight="false" outlineLevel="0" collapsed="false">
      <c r="A558" s="0" t="s">
        <v>1558</v>
      </c>
      <c r="B558" s="0" t="s">
        <v>1559</v>
      </c>
      <c r="C558" s="0" t="s">
        <v>1560</v>
      </c>
      <c r="D558" s="2" t="s">
        <v>15</v>
      </c>
      <c r="E558" s="0" t="str">
        <f aca="false">VLOOKUP(D558,Fornitori!$A$2:$C$6,2,FALSE())</f>
        <v>Rulmeca Italia</v>
      </c>
      <c r="F558" s="0" t="n">
        <v>56</v>
      </c>
      <c r="G558" s="0" t="n">
        <v>16</v>
      </c>
      <c r="H558" s="0" t="str">
        <f aca="false">IF(F558&lt;G558,"SI","NO")</f>
        <v>NO</v>
      </c>
    </row>
    <row r="559" customFormat="false" ht="15" hidden="false" customHeight="false" outlineLevel="0" collapsed="false">
      <c r="A559" s="0" t="s">
        <v>1561</v>
      </c>
      <c r="B559" s="0" t="s">
        <v>1562</v>
      </c>
      <c r="C559" s="0" t="s">
        <v>1014</v>
      </c>
      <c r="D559" s="2" t="s">
        <v>19</v>
      </c>
      <c r="E559" s="0" t="str">
        <f aca="false">VLOOKUP(D559,Fornitori!$A$2:$C$6,2,FALSE())</f>
        <v>Elettrotecnica Ferri</v>
      </c>
      <c r="F559" s="0" t="n">
        <v>8</v>
      </c>
      <c r="G559" s="0" t="n">
        <v>14</v>
      </c>
      <c r="H559" s="0" t="str">
        <f aca="false">IF(F559&lt;G559,"SI","NO")</f>
        <v>SI</v>
      </c>
    </row>
    <row r="560" customFormat="false" ht="15" hidden="false" customHeight="false" outlineLevel="0" collapsed="false">
      <c r="A560" s="0" t="s">
        <v>1563</v>
      </c>
      <c r="B560" s="0" t="s">
        <v>1564</v>
      </c>
      <c r="C560" s="0" t="s">
        <v>1565</v>
      </c>
      <c r="D560" s="2" t="s">
        <v>23</v>
      </c>
      <c r="E560" s="0" t="str">
        <f aca="false">VLOOKUP(D560,Fornitori!$A$2:$C$6,2,FALSE())</f>
        <v>Pneumax Service</v>
      </c>
      <c r="F560" s="0" t="n">
        <v>58</v>
      </c>
      <c r="G560" s="0" t="n">
        <v>14</v>
      </c>
      <c r="H560" s="0" t="str">
        <f aca="false">IF(F560&lt;G560,"SI","NO")</f>
        <v>NO</v>
      </c>
    </row>
    <row r="561" customFormat="false" ht="15" hidden="false" customHeight="false" outlineLevel="0" collapsed="false">
      <c r="A561" s="0" t="s">
        <v>1566</v>
      </c>
      <c r="B561" s="0" t="s">
        <v>1567</v>
      </c>
      <c r="C561" s="0" t="s">
        <v>1568</v>
      </c>
      <c r="D561" s="2" t="s">
        <v>27</v>
      </c>
      <c r="E561" s="0" t="str">
        <f aca="false">VLOOKUP(D561,Fornitori!$A$2:$C$6,2,FALSE())</f>
        <v>Guarnizioni Alpi</v>
      </c>
      <c r="F561" s="0" t="n">
        <v>10</v>
      </c>
      <c r="G561" s="0" t="n">
        <v>19</v>
      </c>
      <c r="H561" s="0" t="str">
        <f aca="false">IF(F561&lt;G561,"SI","NO")</f>
        <v>SI</v>
      </c>
    </row>
    <row r="562" customFormat="false" ht="15" hidden="false" customHeight="false" outlineLevel="0" collapsed="false">
      <c r="A562" s="0" t="s">
        <v>1569</v>
      </c>
      <c r="B562" s="0" t="s">
        <v>1570</v>
      </c>
      <c r="C562" s="0" t="s">
        <v>1571</v>
      </c>
      <c r="D562" s="2" t="s">
        <v>11</v>
      </c>
      <c r="E562" s="0" t="str">
        <f aca="false">VLOOKUP(D562,Fornitori!$A$2:$C$6,2,FALSE())</f>
        <v>Meccanica Bassi S.r.l.</v>
      </c>
      <c r="F562" s="0" t="n">
        <v>58</v>
      </c>
      <c r="G562" s="0" t="n">
        <v>17</v>
      </c>
      <c r="H562" s="0" t="str">
        <f aca="false">IF(F562&lt;G562,"SI","NO")</f>
        <v>NO</v>
      </c>
    </row>
    <row r="563" customFormat="false" ht="15" hidden="false" customHeight="false" outlineLevel="0" collapsed="false">
      <c r="A563" s="0" t="s">
        <v>1572</v>
      </c>
      <c r="B563" s="0" t="s">
        <v>1573</v>
      </c>
      <c r="C563" s="0" t="s">
        <v>1574</v>
      </c>
      <c r="D563" s="2" t="s">
        <v>15</v>
      </c>
      <c r="E563" s="0" t="str">
        <f aca="false">VLOOKUP(D563,Fornitori!$A$2:$C$6,2,FALSE())</f>
        <v>Rulmeca Italia</v>
      </c>
      <c r="F563" s="0" t="n">
        <v>40</v>
      </c>
      <c r="G563" s="0" t="n">
        <v>5</v>
      </c>
      <c r="H563" s="0" t="str">
        <f aca="false">IF(F563&lt;G563,"SI","NO")</f>
        <v>NO</v>
      </c>
    </row>
    <row r="564" customFormat="false" ht="15" hidden="false" customHeight="false" outlineLevel="0" collapsed="false">
      <c r="A564" s="0" t="s">
        <v>1575</v>
      </c>
      <c r="B564" s="0" t="s">
        <v>1576</v>
      </c>
      <c r="C564" s="0" t="s">
        <v>1577</v>
      </c>
      <c r="D564" s="2" t="s">
        <v>19</v>
      </c>
      <c r="E564" s="0" t="str">
        <f aca="false">VLOOKUP(D564,Fornitori!$A$2:$C$6,2,FALSE())</f>
        <v>Elettrotecnica Ferri</v>
      </c>
      <c r="F564" s="0" t="n">
        <v>44</v>
      </c>
      <c r="G564" s="0" t="n">
        <v>8</v>
      </c>
      <c r="H564" s="0" t="str">
        <f aca="false">IF(F564&lt;G564,"SI","NO")</f>
        <v>NO</v>
      </c>
    </row>
    <row r="565" customFormat="false" ht="15" hidden="false" customHeight="false" outlineLevel="0" collapsed="false">
      <c r="A565" s="0" t="s">
        <v>1578</v>
      </c>
      <c r="B565" s="0" t="s">
        <v>1579</v>
      </c>
      <c r="C565" s="0" t="s">
        <v>1580</v>
      </c>
      <c r="D565" s="2" t="s">
        <v>23</v>
      </c>
      <c r="E565" s="0" t="str">
        <f aca="false">VLOOKUP(D565,Fornitori!$A$2:$C$6,2,FALSE())</f>
        <v>Pneumax Service</v>
      </c>
      <c r="F565" s="0" t="n">
        <v>7</v>
      </c>
      <c r="G565" s="0" t="n">
        <v>8</v>
      </c>
      <c r="H565" s="0" t="str">
        <f aca="false">IF(F565&lt;G565,"SI","NO")</f>
        <v>SI</v>
      </c>
    </row>
    <row r="566" customFormat="false" ht="15" hidden="false" customHeight="false" outlineLevel="0" collapsed="false">
      <c r="A566" s="0" t="s">
        <v>1581</v>
      </c>
      <c r="B566" s="0" t="s">
        <v>1582</v>
      </c>
      <c r="C566" s="0" t="s">
        <v>322</v>
      </c>
      <c r="D566" s="2" t="s">
        <v>27</v>
      </c>
      <c r="E566" s="0" t="str">
        <f aca="false">VLOOKUP(D566,Fornitori!$A$2:$C$6,2,FALSE())</f>
        <v>Guarnizioni Alpi</v>
      </c>
      <c r="F566" s="0" t="n">
        <v>14</v>
      </c>
      <c r="G566" s="0" t="n">
        <v>22</v>
      </c>
      <c r="H566" s="0" t="str">
        <f aca="false">IF(F566&lt;G566,"SI","NO")</f>
        <v>SI</v>
      </c>
    </row>
    <row r="567" customFormat="false" ht="15" hidden="false" customHeight="false" outlineLevel="0" collapsed="false">
      <c r="A567" s="0" t="s">
        <v>1583</v>
      </c>
      <c r="B567" s="0" t="s">
        <v>1584</v>
      </c>
      <c r="C567" s="0" t="s">
        <v>1585</v>
      </c>
      <c r="D567" s="2" t="s">
        <v>11</v>
      </c>
      <c r="E567" s="0" t="str">
        <f aca="false">VLOOKUP(D567,Fornitori!$A$2:$C$6,2,FALSE())</f>
        <v>Meccanica Bassi S.r.l.</v>
      </c>
      <c r="F567" s="0" t="n">
        <v>53</v>
      </c>
      <c r="G567" s="0" t="n">
        <v>20</v>
      </c>
      <c r="H567" s="0" t="str">
        <f aca="false">IF(F567&lt;G567,"SI","NO")</f>
        <v>NO</v>
      </c>
    </row>
    <row r="568" customFormat="false" ht="15" hidden="false" customHeight="false" outlineLevel="0" collapsed="false">
      <c r="A568" s="0" t="s">
        <v>1586</v>
      </c>
      <c r="B568" s="0" t="s">
        <v>1587</v>
      </c>
      <c r="C568" s="0" t="s">
        <v>1588</v>
      </c>
      <c r="D568" s="2" t="s">
        <v>15</v>
      </c>
      <c r="E568" s="0" t="str">
        <f aca="false">VLOOKUP(D568,Fornitori!$A$2:$C$6,2,FALSE())</f>
        <v>Rulmeca Italia</v>
      </c>
      <c r="F568" s="0" t="n">
        <v>4</v>
      </c>
      <c r="G568" s="0" t="n">
        <v>13</v>
      </c>
      <c r="H568" s="0" t="str">
        <f aca="false">IF(F568&lt;G568,"SI","NO")</f>
        <v>SI</v>
      </c>
    </row>
    <row r="569" customFormat="false" ht="15" hidden="false" customHeight="false" outlineLevel="0" collapsed="false">
      <c r="A569" s="0" t="s">
        <v>1589</v>
      </c>
      <c r="B569" s="0" t="s">
        <v>1590</v>
      </c>
      <c r="C569" s="0" t="s">
        <v>1554</v>
      </c>
      <c r="D569" s="2" t="s">
        <v>19</v>
      </c>
      <c r="E569" s="0" t="str">
        <f aca="false">VLOOKUP(D569,Fornitori!$A$2:$C$6,2,FALSE())</f>
        <v>Elettrotecnica Ferri</v>
      </c>
      <c r="F569" s="0" t="n">
        <v>2</v>
      </c>
      <c r="G569" s="0" t="n">
        <v>11</v>
      </c>
      <c r="H569" s="0" t="str">
        <f aca="false">IF(F569&lt;G569,"SI","NO")</f>
        <v>SI</v>
      </c>
    </row>
    <row r="570" customFormat="false" ht="15" hidden="false" customHeight="false" outlineLevel="0" collapsed="false">
      <c r="A570" s="0" t="s">
        <v>1591</v>
      </c>
      <c r="B570" s="0" t="s">
        <v>1592</v>
      </c>
      <c r="C570" s="0" t="s">
        <v>1593</v>
      </c>
      <c r="D570" s="2" t="s">
        <v>23</v>
      </c>
      <c r="E570" s="0" t="str">
        <f aca="false">VLOOKUP(D570,Fornitori!$A$2:$C$6,2,FALSE())</f>
        <v>Pneumax Service</v>
      </c>
      <c r="F570" s="0" t="n">
        <v>20</v>
      </c>
      <c r="G570" s="0" t="n">
        <v>6</v>
      </c>
      <c r="H570" s="0" t="str">
        <f aca="false">IF(F570&lt;G570,"SI","NO")</f>
        <v>NO</v>
      </c>
    </row>
    <row r="571" customFormat="false" ht="15" hidden="false" customHeight="false" outlineLevel="0" collapsed="false">
      <c r="A571" s="0" t="s">
        <v>1594</v>
      </c>
      <c r="B571" s="0" t="s">
        <v>1595</v>
      </c>
      <c r="C571" s="0" t="s">
        <v>951</v>
      </c>
      <c r="D571" s="2" t="s">
        <v>27</v>
      </c>
      <c r="E571" s="0" t="str">
        <f aca="false">VLOOKUP(D571,Fornitori!$A$2:$C$6,2,FALSE())</f>
        <v>Guarnizioni Alpi</v>
      </c>
      <c r="F571" s="0" t="n">
        <v>44</v>
      </c>
      <c r="G571" s="0" t="n">
        <v>18</v>
      </c>
      <c r="H571" s="0" t="str">
        <f aca="false">IF(F571&lt;G571,"SI","NO")</f>
        <v>NO</v>
      </c>
    </row>
    <row r="572" customFormat="false" ht="15" hidden="false" customHeight="false" outlineLevel="0" collapsed="false">
      <c r="A572" s="0" t="s">
        <v>1596</v>
      </c>
      <c r="B572" s="0" t="s">
        <v>1597</v>
      </c>
      <c r="C572" s="0" t="s">
        <v>1598</v>
      </c>
      <c r="D572" s="2" t="s">
        <v>11</v>
      </c>
      <c r="E572" s="0" t="str">
        <f aca="false">VLOOKUP(D572,Fornitori!$A$2:$C$6,2,FALSE())</f>
        <v>Meccanica Bassi S.r.l.</v>
      </c>
      <c r="F572" s="0" t="n">
        <v>26</v>
      </c>
      <c r="G572" s="0" t="n">
        <v>17</v>
      </c>
      <c r="H572" s="0" t="str">
        <f aca="false">IF(F572&lt;G572,"SI","NO")</f>
        <v>NO</v>
      </c>
    </row>
    <row r="573" customFormat="false" ht="15" hidden="false" customHeight="false" outlineLevel="0" collapsed="false">
      <c r="A573" s="0" t="s">
        <v>1599</v>
      </c>
      <c r="B573" s="0" t="s">
        <v>1600</v>
      </c>
      <c r="C573" s="0" t="s">
        <v>1601</v>
      </c>
      <c r="D573" s="2" t="s">
        <v>15</v>
      </c>
      <c r="E573" s="0" t="str">
        <f aca="false">VLOOKUP(D573,Fornitori!$A$2:$C$6,2,FALSE())</f>
        <v>Rulmeca Italia</v>
      </c>
      <c r="F573" s="0" t="n">
        <v>9</v>
      </c>
      <c r="G573" s="0" t="n">
        <v>5</v>
      </c>
      <c r="H573" s="0" t="str">
        <f aca="false">IF(F573&lt;G573,"SI","NO")</f>
        <v>NO</v>
      </c>
    </row>
    <row r="574" customFormat="false" ht="15" hidden="false" customHeight="false" outlineLevel="0" collapsed="false">
      <c r="A574" s="0" t="s">
        <v>1602</v>
      </c>
      <c r="B574" s="0" t="s">
        <v>1603</v>
      </c>
      <c r="C574" s="0" t="s">
        <v>1349</v>
      </c>
      <c r="D574" s="2" t="s">
        <v>19</v>
      </c>
      <c r="E574" s="0" t="str">
        <f aca="false">VLOOKUP(D574,Fornitori!$A$2:$C$6,2,FALSE())</f>
        <v>Elettrotecnica Ferri</v>
      </c>
      <c r="F574" s="0" t="n">
        <v>46</v>
      </c>
      <c r="G574" s="0" t="n">
        <v>17</v>
      </c>
      <c r="H574" s="0" t="str">
        <f aca="false">IF(F574&lt;G574,"SI","NO")</f>
        <v>NO</v>
      </c>
    </row>
    <row r="575" customFormat="false" ht="15" hidden="false" customHeight="false" outlineLevel="0" collapsed="false">
      <c r="A575" s="0" t="s">
        <v>1604</v>
      </c>
      <c r="B575" s="0" t="s">
        <v>1605</v>
      </c>
      <c r="C575" s="0" t="s">
        <v>1606</v>
      </c>
      <c r="D575" s="2" t="s">
        <v>23</v>
      </c>
      <c r="E575" s="0" t="str">
        <f aca="false">VLOOKUP(D575,Fornitori!$A$2:$C$6,2,FALSE())</f>
        <v>Pneumax Service</v>
      </c>
      <c r="F575" s="0" t="n">
        <v>39</v>
      </c>
      <c r="G575" s="0" t="n">
        <v>6</v>
      </c>
      <c r="H575" s="0" t="str">
        <f aca="false">IF(F575&lt;G575,"SI","NO")</f>
        <v>NO</v>
      </c>
    </row>
    <row r="576" customFormat="false" ht="15" hidden="false" customHeight="false" outlineLevel="0" collapsed="false">
      <c r="A576" s="0" t="s">
        <v>1607</v>
      </c>
      <c r="B576" s="0" t="s">
        <v>1608</v>
      </c>
      <c r="C576" s="0" t="s">
        <v>847</v>
      </c>
      <c r="D576" s="2" t="s">
        <v>27</v>
      </c>
      <c r="E576" s="0" t="str">
        <f aca="false">VLOOKUP(D576,Fornitori!$A$2:$C$6,2,FALSE())</f>
        <v>Guarnizioni Alpi</v>
      </c>
      <c r="F576" s="0" t="n">
        <v>28</v>
      </c>
      <c r="G576" s="0" t="n">
        <v>22</v>
      </c>
      <c r="H576" s="0" t="str">
        <f aca="false">IF(F576&lt;G576,"SI","NO")</f>
        <v>NO</v>
      </c>
    </row>
    <row r="577" customFormat="false" ht="15" hidden="false" customHeight="false" outlineLevel="0" collapsed="false">
      <c r="A577" s="0" t="s">
        <v>1609</v>
      </c>
      <c r="B577" s="0" t="s">
        <v>1610</v>
      </c>
      <c r="C577" s="0" t="s">
        <v>1611</v>
      </c>
      <c r="D577" s="2" t="s">
        <v>11</v>
      </c>
      <c r="E577" s="0" t="str">
        <f aca="false">VLOOKUP(D577,Fornitori!$A$2:$C$6,2,FALSE())</f>
        <v>Meccanica Bassi S.r.l.</v>
      </c>
      <c r="F577" s="0" t="n">
        <v>41</v>
      </c>
      <c r="G577" s="0" t="n">
        <v>20</v>
      </c>
      <c r="H577" s="0" t="str">
        <f aca="false">IF(F577&lt;G577,"SI","NO")</f>
        <v>NO</v>
      </c>
    </row>
    <row r="578" customFormat="false" ht="15" hidden="false" customHeight="false" outlineLevel="0" collapsed="false">
      <c r="A578" s="0" t="s">
        <v>1612</v>
      </c>
      <c r="B578" s="0" t="s">
        <v>1613</v>
      </c>
      <c r="C578" s="0" t="s">
        <v>1614</v>
      </c>
      <c r="D578" s="2" t="s">
        <v>15</v>
      </c>
      <c r="E578" s="0" t="str">
        <f aca="false">VLOOKUP(D578,Fornitori!$A$2:$C$6,2,FALSE())</f>
        <v>Rulmeca Italia</v>
      </c>
      <c r="F578" s="0" t="n">
        <v>40</v>
      </c>
      <c r="G578" s="0" t="n">
        <v>17</v>
      </c>
      <c r="H578" s="0" t="str">
        <f aca="false">IF(F578&lt;G578,"SI","NO")</f>
        <v>NO</v>
      </c>
    </row>
    <row r="579" customFormat="false" ht="15" hidden="false" customHeight="false" outlineLevel="0" collapsed="false">
      <c r="A579" s="0" t="s">
        <v>1615</v>
      </c>
      <c r="B579" s="0" t="s">
        <v>1616</v>
      </c>
      <c r="C579" s="0" t="s">
        <v>72</v>
      </c>
      <c r="D579" s="2" t="s">
        <v>19</v>
      </c>
      <c r="E579" s="0" t="str">
        <f aca="false">VLOOKUP(D579,Fornitori!$A$2:$C$6,2,FALSE())</f>
        <v>Elettrotecnica Ferri</v>
      </c>
      <c r="F579" s="0" t="n">
        <v>39</v>
      </c>
      <c r="G579" s="0" t="n">
        <v>15</v>
      </c>
      <c r="H579" s="0" t="str">
        <f aca="false">IF(F579&lt;G579,"SI","NO")</f>
        <v>NO</v>
      </c>
    </row>
    <row r="580" customFormat="false" ht="15" hidden="false" customHeight="false" outlineLevel="0" collapsed="false">
      <c r="A580" s="0" t="s">
        <v>1617</v>
      </c>
      <c r="B580" s="0" t="s">
        <v>1010</v>
      </c>
      <c r="C580" s="0" t="s">
        <v>1618</v>
      </c>
      <c r="D580" s="2" t="s">
        <v>23</v>
      </c>
      <c r="E580" s="0" t="str">
        <f aca="false">VLOOKUP(D580,Fornitori!$A$2:$C$6,2,FALSE())</f>
        <v>Pneumax Service</v>
      </c>
      <c r="F580" s="0" t="n">
        <v>16</v>
      </c>
      <c r="G580" s="0" t="n">
        <v>13</v>
      </c>
      <c r="H580" s="0" t="str">
        <f aca="false">IF(F580&lt;G580,"SI","NO")</f>
        <v>NO</v>
      </c>
    </row>
    <row r="581" customFormat="false" ht="15" hidden="false" customHeight="false" outlineLevel="0" collapsed="false">
      <c r="A581" s="0" t="s">
        <v>1619</v>
      </c>
      <c r="B581" s="0" t="s">
        <v>1620</v>
      </c>
      <c r="C581" s="0" t="s">
        <v>1621</v>
      </c>
      <c r="D581" s="2" t="s">
        <v>27</v>
      </c>
      <c r="E581" s="0" t="str">
        <f aca="false">VLOOKUP(D581,Fornitori!$A$2:$C$6,2,FALSE())</f>
        <v>Guarnizioni Alpi</v>
      </c>
      <c r="F581" s="0" t="n">
        <v>9</v>
      </c>
      <c r="G581" s="0" t="n">
        <v>7</v>
      </c>
      <c r="H581" s="0" t="str">
        <f aca="false">IF(F581&lt;G581,"SI","NO")</f>
        <v>NO</v>
      </c>
    </row>
    <row r="582" customFormat="false" ht="15" hidden="false" customHeight="false" outlineLevel="0" collapsed="false">
      <c r="A582" s="0" t="s">
        <v>1622</v>
      </c>
      <c r="B582" s="0" t="s">
        <v>1623</v>
      </c>
      <c r="C582" s="0" t="s">
        <v>1624</v>
      </c>
      <c r="D582" s="2" t="s">
        <v>11</v>
      </c>
      <c r="E582" s="0" t="str">
        <f aca="false">VLOOKUP(D582,Fornitori!$A$2:$C$6,2,FALSE())</f>
        <v>Meccanica Bassi S.r.l.</v>
      </c>
      <c r="F582" s="0" t="n">
        <v>52</v>
      </c>
      <c r="G582" s="0" t="n">
        <v>16</v>
      </c>
      <c r="H582" s="0" t="str">
        <f aca="false">IF(F582&lt;G582,"SI","NO")</f>
        <v>NO</v>
      </c>
    </row>
    <row r="583" customFormat="false" ht="15" hidden="false" customHeight="false" outlineLevel="0" collapsed="false">
      <c r="A583" s="0" t="s">
        <v>1625</v>
      </c>
      <c r="B583" s="0" t="s">
        <v>1626</v>
      </c>
      <c r="C583" s="0" t="s">
        <v>1039</v>
      </c>
      <c r="D583" s="2" t="s">
        <v>15</v>
      </c>
      <c r="E583" s="0" t="str">
        <f aca="false">VLOOKUP(D583,Fornitori!$A$2:$C$6,2,FALSE())</f>
        <v>Rulmeca Italia</v>
      </c>
      <c r="F583" s="0" t="n">
        <v>42</v>
      </c>
      <c r="G583" s="0" t="n">
        <v>19</v>
      </c>
      <c r="H583" s="0" t="str">
        <f aca="false">IF(F583&lt;G583,"SI","NO")</f>
        <v>NO</v>
      </c>
    </row>
    <row r="584" customFormat="false" ht="15" hidden="false" customHeight="false" outlineLevel="0" collapsed="false">
      <c r="A584" s="0" t="s">
        <v>1627</v>
      </c>
      <c r="B584" s="0" t="s">
        <v>1311</v>
      </c>
      <c r="C584" s="0" t="s">
        <v>1195</v>
      </c>
      <c r="D584" s="2" t="s">
        <v>19</v>
      </c>
      <c r="E584" s="0" t="str">
        <f aca="false">VLOOKUP(D584,Fornitori!$A$2:$C$6,2,FALSE())</f>
        <v>Elettrotecnica Ferri</v>
      </c>
      <c r="F584" s="0" t="n">
        <v>23</v>
      </c>
      <c r="G584" s="0" t="n">
        <v>18</v>
      </c>
      <c r="H584" s="0" t="str">
        <f aca="false">IF(F584&lt;G584,"SI","NO")</f>
        <v>NO</v>
      </c>
    </row>
    <row r="585" customFormat="false" ht="15" hidden="false" customHeight="false" outlineLevel="0" collapsed="false">
      <c r="A585" s="0" t="s">
        <v>1628</v>
      </c>
      <c r="B585" s="0" t="s">
        <v>347</v>
      </c>
      <c r="C585" s="0" t="s">
        <v>1629</v>
      </c>
      <c r="D585" s="2" t="s">
        <v>23</v>
      </c>
      <c r="E585" s="0" t="str">
        <f aca="false">VLOOKUP(D585,Fornitori!$A$2:$C$6,2,FALSE())</f>
        <v>Pneumax Service</v>
      </c>
      <c r="F585" s="0" t="n">
        <v>24</v>
      </c>
      <c r="G585" s="0" t="n">
        <v>8</v>
      </c>
      <c r="H585" s="0" t="str">
        <f aca="false">IF(F585&lt;G585,"SI","NO")</f>
        <v>NO</v>
      </c>
    </row>
    <row r="586" customFormat="false" ht="15" hidden="false" customHeight="false" outlineLevel="0" collapsed="false">
      <c r="A586" s="0" t="s">
        <v>1630</v>
      </c>
      <c r="B586" s="0" t="s">
        <v>1631</v>
      </c>
      <c r="C586" s="0" t="s">
        <v>810</v>
      </c>
      <c r="D586" s="2" t="s">
        <v>27</v>
      </c>
      <c r="E586" s="0" t="str">
        <f aca="false">VLOOKUP(D586,Fornitori!$A$2:$C$6,2,FALSE())</f>
        <v>Guarnizioni Alpi</v>
      </c>
      <c r="F586" s="0" t="n">
        <v>5</v>
      </c>
      <c r="G586" s="0" t="n">
        <v>13</v>
      </c>
      <c r="H586" s="0" t="str">
        <f aca="false">IF(F586&lt;G586,"SI","NO")</f>
        <v>SI</v>
      </c>
    </row>
    <row r="587" customFormat="false" ht="15" hidden="false" customHeight="false" outlineLevel="0" collapsed="false">
      <c r="A587" s="0" t="s">
        <v>1632</v>
      </c>
      <c r="B587" s="0" t="s">
        <v>806</v>
      </c>
      <c r="C587" s="0" t="s">
        <v>993</v>
      </c>
      <c r="D587" s="2" t="s">
        <v>11</v>
      </c>
      <c r="E587" s="0" t="str">
        <f aca="false">VLOOKUP(D587,Fornitori!$A$2:$C$6,2,FALSE())</f>
        <v>Meccanica Bassi S.r.l.</v>
      </c>
      <c r="F587" s="0" t="n">
        <v>28</v>
      </c>
      <c r="G587" s="0" t="n">
        <v>20</v>
      </c>
      <c r="H587" s="0" t="str">
        <f aca="false">IF(F587&lt;G587,"SI","NO")</f>
        <v>NO</v>
      </c>
    </row>
    <row r="588" customFormat="false" ht="15" hidden="false" customHeight="false" outlineLevel="0" collapsed="false">
      <c r="A588" s="0" t="s">
        <v>1633</v>
      </c>
      <c r="B588" s="0" t="s">
        <v>181</v>
      </c>
      <c r="C588" s="0" t="s">
        <v>1634</v>
      </c>
      <c r="D588" s="2" t="s">
        <v>15</v>
      </c>
      <c r="E588" s="0" t="str">
        <f aca="false">VLOOKUP(D588,Fornitori!$A$2:$C$6,2,FALSE())</f>
        <v>Rulmeca Italia</v>
      </c>
      <c r="F588" s="0" t="n">
        <v>8</v>
      </c>
      <c r="G588" s="0" t="n">
        <v>16</v>
      </c>
      <c r="H588" s="0" t="str">
        <f aca="false">IF(F588&lt;G588,"SI","NO")</f>
        <v>SI</v>
      </c>
    </row>
    <row r="589" customFormat="false" ht="15" hidden="false" customHeight="false" outlineLevel="0" collapsed="false">
      <c r="A589" s="0" t="s">
        <v>1635</v>
      </c>
      <c r="B589" s="0" t="s">
        <v>1636</v>
      </c>
      <c r="C589" s="0" t="s">
        <v>1637</v>
      </c>
      <c r="D589" s="2" t="s">
        <v>19</v>
      </c>
      <c r="E589" s="0" t="str">
        <f aca="false">VLOOKUP(D589,Fornitori!$A$2:$C$6,2,FALSE())</f>
        <v>Elettrotecnica Ferri</v>
      </c>
      <c r="F589" s="0" t="n">
        <v>33</v>
      </c>
      <c r="G589" s="0" t="n">
        <v>15</v>
      </c>
      <c r="H589" s="0" t="str">
        <f aca="false">IF(F589&lt;G589,"SI","NO")</f>
        <v>NO</v>
      </c>
    </row>
    <row r="590" customFormat="false" ht="15" hidden="false" customHeight="false" outlineLevel="0" collapsed="false">
      <c r="A590" s="0" t="s">
        <v>1638</v>
      </c>
      <c r="B590" s="0" t="s">
        <v>1639</v>
      </c>
      <c r="C590" s="0" t="s">
        <v>14</v>
      </c>
      <c r="D590" s="2" t="s">
        <v>23</v>
      </c>
      <c r="E590" s="0" t="str">
        <f aca="false">VLOOKUP(D590,Fornitori!$A$2:$C$6,2,FALSE())</f>
        <v>Pneumax Service</v>
      </c>
      <c r="F590" s="0" t="n">
        <v>0</v>
      </c>
      <c r="G590" s="0" t="n">
        <v>23</v>
      </c>
      <c r="H590" s="0" t="str">
        <f aca="false">IF(F590&lt;G590,"SI","NO")</f>
        <v>SI</v>
      </c>
    </row>
    <row r="591" customFormat="false" ht="15" hidden="false" customHeight="false" outlineLevel="0" collapsed="false">
      <c r="A591" s="0" t="s">
        <v>1640</v>
      </c>
      <c r="B591" s="0" t="s">
        <v>1641</v>
      </c>
      <c r="C591" s="0" t="s">
        <v>1642</v>
      </c>
      <c r="D591" s="2" t="s">
        <v>27</v>
      </c>
      <c r="E591" s="0" t="str">
        <f aca="false">VLOOKUP(D591,Fornitori!$A$2:$C$6,2,FALSE())</f>
        <v>Guarnizioni Alpi</v>
      </c>
      <c r="F591" s="0" t="n">
        <v>34</v>
      </c>
      <c r="G591" s="0" t="n">
        <v>13</v>
      </c>
      <c r="H591" s="0" t="str">
        <f aca="false">IF(F591&lt;G591,"SI","NO")</f>
        <v>NO</v>
      </c>
    </row>
    <row r="592" customFormat="false" ht="15" hidden="false" customHeight="false" outlineLevel="0" collapsed="false">
      <c r="A592" s="0" t="s">
        <v>1643</v>
      </c>
      <c r="B592" s="0" t="s">
        <v>1644</v>
      </c>
      <c r="C592" s="0" t="s">
        <v>1645</v>
      </c>
      <c r="D592" s="2" t="s">
        <v>11</v>
      </c>
      <c r="E592" s="0" t="str">
        <f aca="false">VLOOKUP(D592,Fornitori!$A$2:$C$6,2,FALSE())</f>
        <v>Meccanica Bassi S.r.l.</v>
      </c>
      <c r="F592" s="0" t="n">
        <v>28</v>
      </c>
      <c r="G592" s="0" t="n">
        <v>7</v>
      </c>
      <c r="H592" s="0" t="str">
        <f aca="false">IF(F592&lt;G592,"SI","NO")</f>
        <v>NO</v>
      </c>
    </row>
    <row r="593" customFormat="false" ht="15" hidden="false" customHeight="false" outlineLevel="0" collapsed="false">
      <c r="A593" s="0" t="s">
        <v>1646</v>
      </c>
      <c r="B593" s="0" t="s">
        <v>1647</v>
      </c>
      <c r="C593" s="0" t="s">
        <v>1648</v>
      </c>
      <c r="D593" s="2" t="s">
        <v>15</v>
      </c>
      <c r="E593" s="0" t="str">
        <f aca="false">VLOOKUP(D593,Fornitori!$A$2:$C$6,2,FALSE())</f>
        <v>Rulmeca Italia</v>
      </c>
      <c r="F593" s="0" t="n">
        <v>50</v>
      </c>
      <c r="G593" s="0" t="n">
        <v>14</v>
      </c>
      <c r="H593" s="0" t="str">
        <f aca="false">IF(F593&lt;G593,"SI","NO")</f>
        <v>NO</v>
      </c>
    </row>
    <row r="594" customFormat="false" ht="15" hidden="false" customHeight="false" outlineLevel="0" collapsed="false">
      <c r="A594" s="0" t="s">
        <v>1649</v>
      </c>
      <c r="B594" s="0" t="s">
        <v>1650</v>
      </c>
      <c r="C594" s="0" t="s">
        <v>1448</v>
      </c>
      <c r="D594" s="2" t="s">
        <v>19</v>
      </c>
      <c r="E594" s="0" t="str">
        <f aca="false">VLOOKUP(D594,Fornitori!$A$2:$C$6,2,FALSE())</f>
        <v>Elettrotecnica Ferri</v>
      </c>
      <c r="F594" s="0" t="n">
        <v>2</v>
      </c>
      <c r="G594" s="0" t="n">
        <v>14</v>
      </c>
      <c r="H594" s="0" t="str">
        <f aca="false">IF(F594&lt;G594,"SI","NO")</f>
        <v>SI</v>
      </c>
    </row>
    <row r="595" customFormat="false" ht="15" hidden="false" customHeight="false" outlineLevel="0" collapsed="false">
      <c r="A595" s="0" t="s">
        <v>1651</v>
      </c>
      <c r="B595" s="0" t="s">
        <v>1652</v>
      </c>
      <c r="C595" s="0" t="s">
        <v>1118</v>
      </c>
      <c r="D595" s="2" t="s">
        <v>23</v>
      </c>
      <c r="E595" s="0" t="str">
        <f aca="false">VLOOKUP(D595,Fornitori!$A$2:$C$6,2,FALSE())</f>
        <v>Pneumax Service</v>
      </c>
      <c r="F595" s="0" t="n">
        <v>24</v>
      </c>
      <c r="G595" s="0" t="n">
        <v>23</v>
      </c>
      <c r="H595" s="0" t="str">
        <f aca="false">IF(F595&lt;G595,"SI","NO")</f>
        <v>NO</v>
      </c>
    </row>
    <row r="596" customFormat="false" ht="15" hidden="false" customHeight="false" outlineLevel="0" collapsed="false">
      <c r="A596" s="0" t="s">
        <v>1653</v>
      </c>
      <c r="B596" s="0" t="s">
        <v>1654</v>
      </c>
      <c r="C596" s="0" t="s">
        <v>1655</v>
      </c>
      <c r="D596" s="2" t="s">
        <v>27</v>
      </c>
      <c r="E596" s="0" t="str">
        <f aca="false">VLOOKUP(D596,Fornitori!$A$2:$C$6,2,FALSE())</f>
        <v>Guarnizioni Alpi</v>
      </c>
      <c r="F596" s="0" t="n">
        <v>23</v>
      </c>
      <c r="G596" s="0" t="n">
        <v>7</v>
      </c>
      <c r="H596" s="0" t="str">
        <f aca="false">IF(F596&lt;G596,"SI","NO")</f>
        <v>NO</v>
      </c>
    </row>
    <row r="597" customFormat="false" ht="15" hidden="false" customHeight="false" outlineLevel="0" collapsed="false">
      <c r="A597" s="0" t="s">
        <v>1656</v>
      </c>
      <c r="B597" s="0" t="s">
        <v>1319</v>
      </c>
      <c r="C597" s="0" t="s">
        <v>1657</v>
      </c>
      <c r="D597" s="2" t="s">
        <v>11</v>
      </c>
      <c r="E597" s="0" t="str">
        <f aca="false">VLOOKUP(D597,Fornitori!$A$2:$C$6,2,FALSE())</f>
        <v>Meccanica Bassi S.r.l.</v>
      </c>
      <c r="F597" s="0" t="n">
        <v>28</v>
      </c>
      <c r="G597" s="0" t="n">
        <v>17</v>
      </c>
      <c r="H597" s="0" t="str">
        <f aca="false">IF(F597&lt;G597,"SI","NO")</f>
        <v>NO</v>
      </c>
    </row>
    <row r="598" customFormat="false" ht="15" hidden="false" customHeight="false" outlineLevel="0" collapsed="false">
      <c r="A598" s="0" t="s">
        <v>1658</v>
      </c>
      <c r="B598" s="0" t="s">
        <v>1659</v>
      </c>
      <c r="C598" s="0" t="s">
        <v>435</v>
      </c>
      <c r="D598" s="2" t="s">
        <v>15</v>
      </c>
      <c r="E598" s="0" t="str">
        <f aca="false">VLOOKUP(D598,Fornitori!$A$2:$C$6,2,FALSE())</f>
        <v>Rulmeca Italia</v>
      </c>
      <c r="F598" s="0" t="n">
        <v>41</v>
      </c>
      <c r="G598" s="0" t="n">
        <v>5</v>
      </c>
      <c r="H598" s="0" t="str">
        <f aca="false">IF(F598&lt;G598,"SI","NO")</f>
        <v>NO</v>
      </c>
    </row>
    <row r="599" customFormat="false" ht="15" hidden="false" customHeight="false" outlineLevel="0" collapsed="false">
      <c r="A599" s="0" t="s">
        <v>1660</v>
      </c>
      <c r="B599" s="0" t="s">
        <v>1661</v>
      </c>
      <c r="C599" s="0" t="s">
        <v>203</v>
      </c>
      <c r="D599" s="2" t="s">
        <v>19</v>
      </c>
      <c r="E599" s="0" t="str">
        <f aca="false">VLOOKUP(D599,Fornitori!$A$2:$C$6,2,FALSE())</f>
        <v>Elettrotecnica Ferri</v>
      </c>
      <c r="F599" s="0" t="n">
        <v>53</v>
      </c>
      <c r="G599" s="0" t="n">
        <v>18</v>
      </c>
      <c r="H599" s="0" t="str">
        <f aca="false">IF(F599&lt;G599,"SI","NO")</f>
        <v>NO</v>
      </c>
    </row>
    <row r="600" customFormat="false" ht="15" hidden="false" customHeight="false" outlineLevel="0" collapsed="false">
      <c r="A600" s="0" t="s">
        <v>1662</v>
      </c>
      <c r="B600" s="0" t="s">
        <v>1663</v>
      </c>
      <c r="C600" s="0" t="s">
        <v>1664</v>
      </c>
      <c r="D600" s="2" t="s">
        <v>23</v>
      </c>
      <c r="E600" s="0" t="str">
        <f aca="false">VLOOKUP(D600,Fornitori!$A$2:$C$6,2,FALSE())</f>
        <v>Pneumax Service</v>
      </c>
      <c r="F600" s="0" t="n">
        <v>25</v>
      </c>
      <c r="G600" s="0" t="n">
        <v>20</v>
      </c>
      <c r="H600" s="0" t="str">
        <f aca="false">IF(F600&lt;G600,"SI","NO")</f>
        <v>NO</v>
      </c>
    </row>
    <row r="601" customFormat="false" ht="15" hidden="false" customHeight="false" outlineLevel="0" collapsed="false">
      <c r="A601" s="0" t="s">
        <v>1665</v>
      </c>
      <c r="B601" s="0" t="s">
        <v>1666</v>
      </c>
      <c r="C601" s="0" t="s">
        <v>1667</v>
      </c>
      <c r="D601" s="2" t="s">
        <v>27</v>
      </c>
      <c r="E601" s="0" t="str">
        <f aca="false">VLOOKUP(D601,Fornitori!$A$2:$C$6,2,FALSE())</f>
        <v>Guarnizioni Alpi</v>
      </c>
      <c r="F601" s="0" t="n">
        <v>47</v>
      </c>
      <c r="G601" s="0" t="n">
        <v>11</v>
      </c>
      <c r="H601" s="0" t="str">
        <f aca="false">IF(F601&lt;G601,"SI","NO")</f>
        <v>NO</v>
      </c>
    </row>
    <row r="602" customFormat="false" ht="15" hidden="false" customHeight="false" outlineLevel="0" collapsed="false">
      <c r="A602" s="0" t="s">
        <v>1668</v>
      </c>
      <c r="B602" s="0" t="s">
        <v>1669</v>
      </c>
      <c r="C602" s="0" t="s">
        <v>1031</v>
      </c>
      <c r="D602" s="2" t="s">
        <v>11</v>
      </c>
      <c r="E602" s="0" t="str">
        <f aca="false">VLOOKUP(D602,Fornitori!$A$2:$C$6,2,FALSE())</f>
        <v>Meccanica Bassi S.r.l.</v>
      </c>
      <c r="F602" s="0" t="n">
        <v>35</v>
      </c>
      <c r="G602" s="0" t="n">
        <v>15</v>
      </c>
      <c r="H602" s="0" t="str">
        <f aca="false">IF(F602&lt;G602,"SI","NO")</f>
        <v>NO</v>
      </c>
    </row>
    <row r="603" customFormat="false" ht="15" hidden="false" customHeight="false" outlineLevel="0" collapsed="false">
      <c r="A603" s="0" t="s">
        <v>1670</v>
      </c>
      <c r="B603" s="0" t="s">
        <v>1671</v>
      </c>
      <c r="C603" s="0" t="s">
        <v>1672</v>
      </c>
      <c r="D603" s="2" t="s">
        <v>15</v>
      </c>
      <c r="E603" s="0" t="str">
        <f aca="false">VLOOKUP(D603,Fornitori!$A$2:$C$6,2,FALSE())</f>
        <v>Rulmeca Italia</v>
      </c>
      <c r="F603" s="0" t="n">
        <v>54</v>
      </c>
      <c r="G603" s="0" t="n">
        <v>7</v>
      </c>
      <c r="H603" s="0" t="str">
        <f aca="false">IF(F603&lt;G603,"SI","NO")</f>
        <v>NO</v>
      </c>
    </row>
    <row r="604" customFormat="false" ht="15" hidden="false" customHeight="false" outlineLevel="0" collapsed="false">
      <c r="A604" s="0" t="s">
        <v>1673</v>
      </c>
      <c r="B604" s="0" t="s">
        <v>1674</v>
      </c>
      <c r="C604" s="0" t="s">
        <v>978</v>
      </c>
      <c r="D604" s="2" t="s">
        <v>19</v>
      </c>
      <c r="E604" s="0" t="str">
        <f aca="false">VLOOKUP(D604,Fornitori!$A$2:$C$6,2,FALSE())</f>
        <v>Elettrotecnica Ferri</v>
      </c>
      <c r="F604" s="0" t="n">
        <v>48</v>
      </c>
      <c r="G604" s="0" t="n">
        <v>11</v>
      </c>
      <c r="H604" s="0" t="str">
        <f aca="false">IF(F604&lt;G604,"SI","NO")</f>
        <v>NO</v>
      </c>
    </row>
    <row r="605" customFormat="false" ht="15" hidden="false" customHeight="false" outlineLevel="0" collapsed="false">
      <c r="A605" s="0" t="s">
        <v>1675</v>
      </c>
      <c r="B605" s="0" t="s">
        <v>1676</v>
      </c>
      <c r="C605" s="0" t="s">
        <v>749</v>
      </c>
      <c r="D605" s="2" t="s">
        <v>23</v>
      </c>
      <c r="E605" s="0" t="str">
        <f aca="false">VLOOKUP(D605,Fornitori!$A$2:$C$6,2,FALSE())</f>
        <v>Pneumax Service</v>
      </c>
      <c r="F605" s="0" t="n">
        <v>30</v>
      </c>
      <c r="G605" s="0" t="n">
        <v>6</v>
      </c>
      <c r="H605" s="0" t="str">
        <f aca="false">IF(F605&lt;G605,"SI","NO")</f>
        <v>NO</v>
      </c>
    </row>
    <row r="606" customFormat="false" ht="15" hidden="false" customHeight="false" outlineLevel="0" collapsed="false">
      <c r="A606" s="0" t="s">
        <v>1677</v>
      </c>
      <c r="B606" s="0" t="s">
        <v>1678</v>
      </c>
      <c r="C606" s="0" t="s">
        <v>1679</v>
      </c>
      <c r="D606" s="2" t="s">
        <v>27</v>
      </c>
      <c r="E606" s="0" t="str">
        <f aca="false">VLOOKUP(D606,Fornitori!$A$2:$C$6,2,FALSE())</f>
        <v>Guarnizioni Alpi</v>
      </c>
      <c r="F606" s="0" t="n">
        <v>3</v>
      </c>
      <c r="G606" s="0" t="n">
        <v>9</v>
      </c>
      <c r="H606" s="0" t="str">
        <f aca="false">IF(F606&lt;G606,"SI","NO")</f>
        <v>SI</v>
      </c>
    </row>
    <row r="607" customFormat="false" ht="15" hidden="false" customHeight="false" outlineLevel="0" collapsed="false">
      <c r="A607" s="0" t="s">
        <v>1680</v>
      </c>
      <c r="B607" s="0" t="s">
        <v>1681</v>
      </c>
      <c r="C607" s="0" t="s">
        <v>1682</v>
      </c>
      <c r="D607" s="2" t="s">
        <v>11</v>
      </c>
      <c r="E607" s="0" t="str">
        <f aca="false">VLOOKUP(D607,Fornitori!$A$2:$C$6,2,FALSE())</f>
        <v>Meccanica Bassi S.r.l.</v>
      </c>
      <c r="F607" s="0" t="n">
        <v>11</v>
      </c>
      <c r="G607" s="0" t="n">
        <v>22</v>
      </c>
      <c r="H607" s="0" t="str">
        <f aca="false">IF(F607&lt;G607,"SI","NO")</f>
        <v>SI</v>
      </c>
    </row>
    <row r="608" customFormat="false" ht="15" hidden="false" customHeight="false" outlineLevel="0" collapsed="false">
      <c r="A608" s="0" t="s">
        <v>1683</v>
      </c>
      <c r="B608" s="0" t="s">
        <v>1684</v>
      </c>
      <c r="C608" s="0" t="s">
        <v>1685</v>
      </c>
      <c r="D608" s="2" t="s">
        <v>15</v>
      </c>
      <c r="E608" s="0" t="str">
        <f aca="false">VLOOKUP(D608,Fornitori!$A$2:$C$6,2,FALSE())</f>
        <v>Rulmeca Italia</v>
      </c>
      <c r="F608" s="0" t="n">
        <v>24</v>
      </c>
      <c r="G608" s="0" t="n">
        <v>13</v>
      </c>
      <c r="H608" s="0" t="str">
        <f aca="false">IF(F608&lt;G608,"SI","NO")</f>
        <v>NO</v>
      </c>
    </row>
    <row r="609" customFormat="false" ht="15" hidden="false" customHeight="false" outlineLevel="0" collapsed="false">
      <c r="A609" s="0" t="s">
        <v>1686</v>
      </c>
      <c r="B609" s="0" t="s">
        <v>1687</v>
      </c>
      <c r="C609" s="0" t="s">
        <v>1688</v>
      </c>
      <c r="D609" s="2" t="s">
        <v>19</v>
      </c>
      <c r="E609" s="0" t="str">
        <f aca="false">VLOOKUP(D609,Fornitori!$A$2:$C$6,2,FALSE())</f>
        <v>Elettrotecnica Ferri</v>
      </c>
      <c r="F609" s="0" t="n">
        <v>26</v>
      </c>
      <c r="G609" s="0" t="n">
        <v>6</v>
      </c>
      <c r="H609" s="0" t="str">
        <f aca="false">IF(F609&lt;G609,"SI","NO")</f>
        <v>NO</v>
      </c>
    </row>
    <row r="610" customFormat="false" ht="15" hidden="false" customHeight="false" outlineLevel="0" collapsed="false">
      <c r="A610" s="0" t="s">
        <v>1689</v>
      </c>
      <c r="B610" s="0" t="s">
        <v>1328</v>
      </c>
      <c r="C610" s="0" t="s">
        <v>1690</v>
      </c>
      <c r="D610" s="2" t="s">
        <v>23</v>
      </c>
      <c r="E610" s="0" t="str">
        <f aca="false">VLOOKUP(D610,Fornitori!$A$2:$C$6,2,FALSE())</f>
        <v>Pneumax Service</v>
      </c>
      <c r="F610" s="0" t="n">
        <v>27</v>
      </c>
      <c r="G610" s="0" t="n">
        <v>22</v>
      </c>
      <c r="H610" s="0" t="str">
        <f aca="false">IF(F610&lt;G610,"SI","NO")</f>
        <v>NO</v>
      </c>
    </row>
    <row r="611" customFormat="false" ht="15" hidden="false" customHeight="false" outlineLevel="0" collapsed="false">
      <c r="A611" s="0" t="s">
        <v>1691</v>
      </c>
      <c r="B611" s="0" t="s">
        <v>1692</v>
      </c>
      <c r="C611" s="0" t="s">
        <v>1693</v>
      </c>
      <c r="D611" s="2" t="s">
        <v>27</v>
      </c>
      <c r="E611" s="0" t="str">
        <f aca="false">VLOOKUP(D611,Fornitori!$A$2:$C$6,2,FALSE())</f>
        <v>Guarnizioni Alpi</v>
      </c>
      <c r="F611" s="0" t="n">
        <v>13</v>
      </c>
      <c r="G611" s="0" t="n">
        <v>22</v>
      </c>
      <c r="H611" s="0" t="str">
        <f aca="false">IF(F611&lt;G611,"SI","NO")</f>
        <v>SI</v>
      </c>
    </row>
    <row r="612" customFormat="false" ht="15" hidden="false" customHeight="false" outlineLevel="0" collapsed="false">
      <c r="A612" s="0" t="s">
        <v>1694</v>
      </c>
      <c r="B612" s="0" t="s">
        <v>1695</v>
      </c>
      <c r="C612" s="0" t="s">
        <v>1696</v>
      </c>
      <c r="D612" s="2" t="s">
        <v>11</v>
      </c>
      <c r="E612" s="0" t="str">
        <f aca="false">VLOOKUP(D612,Fornitori!$A$2:$C$6,2,FALSE())</f>
        <v>Meccanica Bassi S.r.l.</v>
      </c>
      <c r="F612" s="0" t="n">
        <v>9</v>
      </c>
      <c r="G612" s="0" t="n">
        <v>16</v>
      </c>
      <c r="H612" s="0" t="str">
        <f aca="false">IF(F612&lt;G612,"SI","NO")</f>
        <v>SI</v>
      </c>
    </row>
    <row r="613" customFormat="false" ht="15" hidden="false" customHeight="false" outlineLevel="0" collapsed="false">
      <c r="A613" s="0" t="s">
        <v>1697</v>
      </c>
      <c r="B613" s="0" t="s">
        <v>1047</v>
      </c>
      <c r="C613" s="0" t="s">
        <v>1698</v>
      </c>
      <c r="D613" s="2" t="s">
        <v>15</v>
      </c>
      <c r="E613" s="0" t="str">
        <f aca="false">VLOOKUP(D613,Fornitori!$A$2:$C$6,2,FALSE())</f>
        <v>Rulmeca Italia</v>
      </c>
      <c r="F613" s="0" t="n">
        <v>42</v>
      </c>
      <c r="G613" s="0" t="n">
        <v>6</v>
      </c>
      <c r="H613" s="0" t="str">
        <f aca="false">IF(F613&lt;G613,"SI","NO")</f>
        <v>NO</v>
      </c>
    </row>
    <row r="614" customFormat="false" ht="15" hidden="false" customHeight="false" outlineLevel="0" collapsed="false">
      <c r="A614" s="0" t="s">
        <v>1699</v>
      </c>
      <c r="B614" s="0" t="s">
        <v>1700</v>
      </c>
      <c r="C614" s="0" t="s">
        <v>544</v>
      </c>
      <c r="D614" s="2" t="s">
        <v>19</v>
      </c>
      <c r="E614" s="0" t="str">
        <f aca="false">VLOOKUP(D614,Fornitori!$A$2:$C$6,2,FALSE())</f>
        <v>Elettrotecnica Ferri</v>
      </c>
      <c r="F614" s="0" t="n">
        <v>52</v>
      </c>
      <c r="G614" s="0" t="n">
        <v>15</v>
      </c>
      <c r="H614" s="0" t="str">
        <f aca="false">IF(F614&lt;G614,"SI","NO")</f>
        <v>NO</v>
      </c>
    </row>
    <row r="615" customFormat="false" ht="15" hidden="false" customHeight="false" outlineLevel="0" collapsed="false">
      <c r="A615" s="0" t="s">
        <v>1701</v>
      </c>
      <c r="B615" s="0" t="s">
        <v>1702</v>
      </c>
      <c r="C615" s="0" t="s">
        <v>1703</v>
      </c>
      <c r="D615" s="2" t="s">
        <v>23</v>
      </c>
      <c r="E615" s="0" t="str">
        <f aca="false">VLOOKUP(D615,Fornitori!$A$2:$C$6,2,FALSE())</f>
        <v>Pneumax Service</v>
      </c>
      <c r="F615" s="0" t="n">
        <v>12</v>
      </c>
      <c r="G615" s="0" t="n">
        <v>11</v>
      </c>
      <c r="H615" s="0" t="str">
        <f aca="false">IF(F615&lt;G615,"SI","NO")</f>
        <v>NO</v>
      </c>
    </row>
    <row r="616" customFormat="false" ht="15" hidden="false" customHeight="false" outlineLevel="0" collapsed="false">
      <c r="A616" s="0" t="s">
        <v>1704</v>
      </c>
      <c r="B616" s="0" t="s">
        <v>379</v>
      </c>
      <c r="C616" s="0" t="s">
        <v>1491</v>
      </c>
      <c r="D616" s="2" t="s">
        <v>27</v>
      </c>
      <c r="E616" s="0" t="str">
        <f aca="false">VLOOKUP(D616,Fornitori!$A$2:$C$6,2,FALSE())</f>
        <v>Guarnizioni Alpi</v>
      </c>
      <c r="F616" s="0" t="n">
        <v>13</v>
      </c>
      <c r="G616" s="0" t="n">
        <v>6</v>
      </c>
      <c r="H616" s="0" t="str">
        <f aca="false">IF(F616&lt;G616,"SI","NO")</f>
        <v>NO</v>
      </c>
    </row>
    <row r="617" customFormat="false" ht="15" hidden="false" customHeight="false" outlineLevel="0" collapsed="false">
      <c r="A617" s="0" t="s">
        <v>1705</v>
      </c>
      <c r="B617" s="0" t="s">
        <v>1706</v>
      </c>
      <c r="C617" s="0" t="s">
        <v>1707</v>
      </c>
      <c r="D617" s="2" t="s">
        <v>11</v>
      </c>
      <c r="E617" s="0" t="str">
        <f aca="false">VLOOKUP(D617,Fornitori!$A$2:$C$6,2,FALSE())</f>
        <v>Meccanica Bassi S.r.l.</v>
      </c>
      <c r="F617" s="0" t="n">
        <v>55</v>
      </c>
      <c r="G617" s="0" t="n">
        <v>7</v>
      </c>
      <c r="H617" s="0" t="str">
        <f aca="false">IF(F617&lt;G617,"SI","NO")</f>
        <v>NO</v>
      </c>
    </row>
    <row r="618" customFormat="false" ht="15" hidden="false" customHeight="false" outlineLevel="0" collapsed="false">
      <c r="A618" s="0" t="s">
        <v>1708</v>
      </c>
      <c r="B618" s="0" t="s">
        <v>1709</v>
      </c>
      <c r="C618" s="0" t="s">
        <v>1710</v>
      </c>
      <c r="D618" s="2" t="s">
        <v>15</v>
      </c>
      <c r="E618" s="0" t="str">
        <f aca="false">VLOOKUP(D618,Fornitori!$A$2:$C$6,2,FALSE())</f>
        <v>Rulmeca Italia</v>
      </c>
      <c r="F618" s="0" t="n">
        <v>47</v>
      </c>
      <c r="G618" s="0" t="n">
        <v>10</v>
      </c>
      <c r="H618" s="0" t="str">
        <f aca="false">IF(F618&lt;G618,"SI","NO")</f>
        <v>NO</v>
      </c>
    </row>
    <row r="619" customFormat="false" ht="15" hidden="false" customHeight="false" outlineLevel="0" collapsed="false">
      <c r="A619" s="0" t="s">
        <v>1711</v>
      </c>
      <c r="B619" s="0" t="s">
        <v>1712</v>
      </c>
      <c r="C619" s="0" t="s">
        <v>1159</v>
      </c>
      <c r="D619" s="2" t="s">
        <v>19</v>
      </c>
      <c r="E619" s="0" t="str">
        <f aca="false">VLOOKUP(D619,Fornitori!$A$2:$C$6,2,FALSE())</f>
        <v>Elettrotecnica Ferri</v>
      </c>
      <c r="F619" s="0" t="n">
        <v>53</v>
      </c>
      <c r="G619" s="0" t="n">
        <v>10</v>
      </c>
      <c r="H619" s="0" t="str">
        <f aca="false">IF(F619&lt;G619,"SI","NO")</f>
        <v>NO</v>
      </c>
    </row>
    <row r="620" customFormat="false" ht="15" hidden="false" customHeight="false" outlineLevel="0" collapsed="false">
      <c r="A620" s="0" t="s">
        <v>1713</v>
      </c>
      <c r="B620" s="0" t="s">
        <v>1714</v>
      </c>
      <c r="C620" s="0" t="s">
        <v>1715</v>
      </c>
      <c r="D620" s="2" t="s">
        <v>23</v>
      </c>
      <c r="E620" s="0" t="str">
        <f aca="false">VLOOKUP(D620,Fornitori!$A$2:$C$6,2,FALSE())</f>
        <v>Pneumax Service</v>
      </c>
      <c r="F620" s="0" t="n">
        <v>12</v>
      </c>
      <c r="G620" s="0" t="n">
        <v>7</v>
      </c>
      <c r="H620" s="0" t="str">
        <f aca="false">IF(F620&lt;G620,"SI","NO")</f>
        <v>NO</v>
      </c>
    </row>
    <row r="621" customFormat="false" ht="15" hidden="false" customHeight="false" outlineLevel="0" collapsed="false">
      <c r="A621" s="0" t="s">
        <v>1716</v>
      </c>
      <c r="B621" s="0" t="s">
        <v>1717</v>
      </c>
      <c r="C621" s="0" t="s">
        <v>1718</v>
      </c>
      <c r="D621" s="2" t="s">
        <v>27</v>
      </c>
      <c r="E621" s="0" t="str">
        <f aca="false">VLOOKUP(D621,Fornitori!$A$2:$C$6,2,FALSE())</f>
        <v>Guarnizioni Alpi</v>
      </c>
      <c r="F621" s="0" t="n">
        <v>16</v>
      </c>
      <c r="G621" s="0" t="n">
        <v>19</v>
      </c>
      <c r="H621" s="0" t="str">
        <f aca="false">IF(F621&lt;G621,"SI","NO")</f>
        <v>SI</v>
      </c>
    </row>
    <row r="622" customFormat="false" ht="15" hidden="false" customHeight="false" outlineLevel="0" collapsed="false">
      <c r="A622" s="0" t="s">
        <v>1719</v>
      </c>
      <c r="B622" s="0" t="s">
        <v>1720</v>
      </c>
      <c r="C622" s="0" t="s">
        <v>1454</v>
      </c>
      <c r="D622" s="2" t="s">
        <v>11</v>
      </c>
      <c r="E622" s="0" t="str">
        <f aca="false">VLOOKUP(D622,Fornitori!$A$2:$C$6,2,FALSE())</f>
        <v>Meccanica Bassi S.r.l.</v>
      </c>
      <c r="F622" s="0" t="n">
        <v>2</v>
      </c>
      <c r="G622" s="0" t="n">
        <v>10</v>
      </c>
      <c r="H622" s="0" t="str">
        <f aca="false">IF(F622&lt;G622,"SI","NO")</f>
        <v>SI</v>
      </c>
    </row>
    <row r="623" customFormat="false" ht="15" hidden="false" customHeight="false" outlineLevel="0" collapsed="false">
      <c r="A623" s="0" t="s">
        <v>1721</v>
      </c>
      <c r="B623" s="0" t="s">
        <v>1722</v>
      </c>
      <c r="C623" s="0" t="s">
        <v>119</v>
      </c>
      <c r="D623" s="2" t="s">
        <v>15</v>
      </c>
      <c r="E623" s="0" t="str">
        <f aca="false">VLOOKUP(D623,Fornitori!$A$2:$C$6,2,FALSE())</f>
        <v>Rulmeca Italia</v>
      </c>
      <c r="F623" s="0" t="n">
        <v>20</v>
      </c>
      <c r="G623" s="0" t="n">
        <v>22</v>
      </c>
      <c r="H623" s="0" t="str">
        <f aca="false">IF(F623&lt;G623,"SI","NO")</f>
        <v>SI</v>
      </c>
    </row>
    <row r="624" customFormat="false" ht="15" hidden="false" customHeight="false" outlineLevel="0" collapsed="false">
      <c r="A624" s="0" t="s">
        <v>1723</v>
      </c>
      <c r="B624" s="0" t="s">
        <v>1724</v>
      </c>
      <c r="C624" s="0" t="s">
        <v>1072</v>
      </c>
      <c r="D624" s="2" t="s">
        <v>19</v>
      </c>
      <c r="E624" s="0" t="str">
        <f aca="false">VLOOKUP(D624,Fornitori!$A$2:$C$6,2,FALSE())</f>
        <v>Elettrotecnica Ferri</v>
      </c>
      <c r="F624" s="0" t="n">
        <v>53</v>
      </c>
      <c r="G624" s="0" t="n">
        <v>11</v>
      </c>
      <c r="H624" s="0" t="str">
        <f aca="false">IF(F624&lt;G624,"SI","NO")</f>
        <v>NO</v>
      </c>
    </row>
    <row r="625" customFormat="false" ht="15" hidden="false" customHeight="false" outlineLevel="0" collapsed="false">
      <c r="A625" s="0" t="s">
        <v>1725</v>
      </c>
      <c r="B625" s="0" t="s">
        <v>1726</v>
      </c>
      <c r="C625" s="0" t="s">
        <v>1727</v>
      </c>
      <c r="D625" s="2" t="s">
        <v>23</v>
      </c>
      <c r="E625" s="0" t="str">
        <f aca="false">VLOOKUP(D625,Fornitori!$A$2:$C$6,2,FALSE())</f>
        <v>Pneumax Service</v>
      </c>
      <c r="F625" s="0" t="n">
        <v>20</v>
      </c>
      <c r="G625" s="0" t="n">
        <v>17</v>
      </c>
      <c r="H625" s="0" t="str">
        <f aca="false">IF(F625&lt;G625,"SI","NO")</f>
        <v>NO</v>
      </c>
    </row>
    <row r="626" customFormat="false" ht="15" hidden="false" customHeight="false" outlineLevel="0" collapsed="false">
      <c r="A626" s="0" t="s">
        <v>1728</v>
      </c>
      <c r="B626" s="0" t="s">
        <v>665</v>
      </c>
      <c r="C626" s="0" t="s">
        <v>1729</v>
      </c>
      <c r="D626" s="2" t="s">
        <v>27</v>
      </c>
      <c r="E626" s="0" t="str">
        <f aca="false">VLOOKUP(D626,Fornitori!$A$2:$C$6,2,FALSE())</f>
        <v>Guarnizioni Alpi</v>
      </c>
      <c r="F626" s="0" t="n">
        <v>34</v>
      </c>
      <c r="G626" s="0" t="n">
        <v>7</v>
      </c>
      <c r="H626" s="0" t="str">
        <f aca="false">IF(F626&lt;G626,"SI","NO")</f>
        <v>NO</v>
      </c>
    </row>
    <row r="627" customFormat="false" ht="15" hidden="false" customHeight="false" outlineLevel="0" collapsed="false">
      <c r="A627" s="0" t="s">
        <v>1730</v>
      </c>
      <c r="B627" s="0" t="s">
        <v>1731</v>
      </c>
      <c r="C627" s="0" t="s">
        <v>1732</v>
      </c>
      <c r="D627" s="2" t="s">
        <v>11</v>
      </c>
      <c r="E627" s="0" t="str">
        <f aca="false">VLOOKUP(D627,Fornitori!$A$2:$C$6,2,FALSE())</f>
        <v>Meccanica Bassi S.r.l.</v>
      </c>
      <c r="F627" s="0" t="n">
        <v>27</v>
      </c>
      <c r="G627" s="0" t="n">
        <v>15</v>
      </c>
      <c r="H627" s="0" t="str">
        <f aca="false">IF(F627&lt;G627,"SI","NO")</f>
        <v>NO</v>
      </c>
    </row>
    <row r="628" customFormat="false" ht="15" hidden="false" customHeight="false" outlineLevel="0" collapsed="false">
      <c r="A628" s="0" t="s">
        <v>1733</v>
      </c>
      <c r="B628" s="0" t="s">
        <v>1734</v>
      </c>
      <c r="C628" s="0" t="s">
        <v>1081</v>
      </c>
      <c r="D628" s="2" t="s">
        <v>15</v>
      </c>
      <c r="E628" s="0" t="str">
        <f aca="false">VLOOKUP(D628,Fornitori!$A$2:$C$6,2,FALSE())</f>
        <v>Rulmeca Italia</v>
      </c>
      <c r="F628" s="0" t="n">
        <v>42</v>
      </c>
      <c r="G628" s="0" t="n">
        <v>11</v>
      </c>
      <c r="H628" s="0" t="str">
        <f aca="false">IF(F628&lt;G628,"SI","NO")</f>
        <v>NO</v>
      </c>
    </row>
    <row r="629" customFormat="false" ht="15" hidden="false" customHeight="false" outlineLevel="0" collapsed="false">
      <c r="A629" s="0" t="s">
        <v>1735</v>
      </c>
      <c r="B629" s="0" t="s">
        <v>1736</v>
      </c>
      <c r="C629" s="0" t="s">
        <v>1737</v>
      </c>
      <c r="D629" s="2" t="s">
        <v>19</v>
      </c>
      <c r="E629" s="0" t="str">
        <f aca="false">VLOOKUP(D629,Fornitori!$A$2:$C$6,2,FALSE())</f>
        <v>Elettrotecnica Ferri</v>
      </c>
      <c r="F629" s="0" t="n">
        <v>48</v>
      </c>
      <c r="G629" s="0" t="n">
        <v>20</v>
      </c>
      <c r="H629" s="0" t="str">
        <f aca="false">IF(F629&lt;G629,"SI","NO")</f>
        <v>NO</v>
      </c>
    </row>
    <row r="630" customFormat="false" ht="15" hidden="false" customHeight="false" outlineLevel="0" collapsed="false">
      <c r="A630" s="0" t="s">
        <v>1738</v>
      </c>
      <c r="B630" s="0" t="s">
        <v>1739</v>
      </c>
      <c r="C630" s="0" t="s">
        <v>960</v>
      </c>
      <c r="D630" s="2" t="s">
        <v>23</v>
      </c>
      <c r="E630" s="0" t="str">
        <f aca="false">VLOOKUP(D630,Fornitori!$A$2:$C$6,2,FALSE())</f>
        <v>Pneumax Service</v>
      </c>
      <c r="F630" s="0" t="n">
        <v>19</v>
      </c>
      <c r="G630" s="0" t="n">
        <v>24</v>
      </c>
      <c r="H630" s="0" t="str">
        <f aca="false">IF(F630&lt;G630,"SI","NO")</f>
        <v>SI</v>
      </c>
    </row>
    <row r="631" customFormat="false" ht="15" hidden="false" customHeight="false" outlineLevel="0" collapsed="false">
      <c r="A631" s="0" t="s">
        <v>1740</v>
      </c>
      <c r="B631" s="0" t="s">
        <v>1741</v>
      </c>
      <c r="C631" s="0" t="s">
        <v>1742</v>
      </c>
      <c r="D631" s="2" t="s">
        <v>27</v>
      </c>
      <c r="E631" s="0" t="str">
        <f aca="false">VLOOKUP(D631,Fornitori!$A$2:$C$6,2,FALSE())</f>
        <v>Guarnizioni Alpi</v>
      </c>
      <c r="F631" s="0" t="n">
        <v>49</v>
      </c>
      <c r="G631" s="0" t="n">
        <v>12</v>
      </c>
      <c r="H631" s="0" t="str">
        <f aca="false">IF(F631&lt;G631,"SI","NO")</f>
        <v>NO</v>
      </c>
    </row>
    <row r="632" customFormat="false" ht="15" hidden="false" customHeight="false" outlineLevel="0" collapsed="false">
      <c r="A632" s="0" t="s">
        <v>1743</v>
      </c>
      <c r="B632" s="0" t="s">
        <v>1744</v>
      </c>
      <c r="C632" s="0" t="s">
        <v>1745</v>
      </c>
      <c r="D632" s="2" t="s">
        <v>11</v>
      </c>
      <c r="E632" s="0" t="str">
        <f aca="false">VLOOKUP(D632,Fornitori!$A$2:$C$6,2,FALSE())</f>
        <v>Meccanica Bassi S.r.l.</v>
      </c>
      <c r="F632" s="0" t="n">
        <v>12</v>
      </c>
      <c r="G632" s="0" t="n">
        <v>9</v>
      </c>
      <c r="H632" s="0" t="str">
        <f aca="false">IF(F632&lt;G632,"SI","NO")</f>
        <v>NO</v>
      </c>
    </row>
    <row r="633" customFormat="false" ht="15" hidden="false" customHeight="false" outlineLevel="0" collapsed="false">
      <c r="A633" s="0" t="s">
        <v>1746</v>
      </c>
      <c r="B633" s="0" t="s">
        <v>1747</v>
      </c>
      <c r="C633" s="0" t="s">
        <v>1309</v>
      </c>
      <c r="D633" s="2" t="s">
        <v>15</v>
      </c>
      <c r="E633" s="0" t="str">
        <f aca="false">VLOOKUP(D633,Fornitori!$A$2:$C$6,2,FALSE())</f>
        <v>Rulmeca Italia</v>
      </c>
      <c r="F633" s="0" t="n">
        <v>28</v>
      </c>
      <c r="G633" s="0" t="n">
        <v>20</v>
      </c>
      <c r="H633" s="0" t="str">
        <f aca="false">IF(F633&lt;G633,"SI","NO")</f>
        <v>NO</v>
      </c>
    </row>
    <row r="634" customFormat="false" ht="15" hidden="false" customHeight="false" outlineLevel="0" collapsed="false">
      <c r="A634" s="0" t="s">
        <v>1748</v>
      </c>
      <c r="B634" s="0" t="s">
        <v>1749</v>
      </c>
      <c r="C634" s="0" t="s">
        <v>1750</v>
      </c>
      <c r="D634" s="2" t="s">
        <v>19</v>
      </c>
      <c r="E634" s="0" t="str">
        <f aca="false">VLOOKUP(D634,Fornitori!$A$2:$C$6,2,FALSE())</f>
        <v>Elettrotecnica Ferri</v>
      </c>
      <c r="F634" s="0" t="n">
        <v>50</v>
      </c>
      <c r="G634" s="0" t="n">
        <v>14</v>
      </c>
      <c r="H634" s="0" t="str">
        <f aca="false">IF(F634&lt;G634,"SI","NO")</f>
        <v>NO</v>
      </c>
    </row>
    <row r="635" customFormat="false" ht="15" hidden="false" customHeight="false" outlineLevel="0" collapsed="false">
      <c r="A635" s="0" t="s">
        <v>1751</v>
      </c>
      <c r="B635" s="0" t="s">
        <v>1752</v>
      </c>
      <c r="C635" s="0" t="s">
        <v>1753</v>
      </c>
      <c r="D635" s="2" t="s">
        <v>23</v>
      </c>
      <c r="E635" s="0" t="str">
        <f aca="false">VLOOKUP(D635,Fornitori!$A$2:$C$6,2,FALSE())</f>
        <v>Pneumax Service</v>
      </c>
      <c r="F635" s="0" t="n">
        <v>35</v>
      </c>
      <c r="G635" s="0" t="n">
        <v>8</v>
      </c>
      <c r="H635" s="0" t="str">
        <f aca="false">IF(F635&lt;G635,"SI","NO")</f>
        <v>NO</v>
      </c>
    </row>
    <row r="636" customFormat="false" ht="15" hidden="false" customHeight="false" outlineLevel="0" collapsed="false">
      <c r="A636" s="0" t="s">
        <v>1754</v>
      </c>
      <c r="B636" s="0" t="s">
        <v>1755</v>
      </c>
      <c r="C636" s="0" t="s">
        <v>758</v>
      </c>
      <c r="D636" s="2" t="s">
        <v>27</v>
      </c>
      <c r="E636" s="0" t="str">
        <f aca="false">VLOOKUP(D636,Fornitori!$A$2:$C$6,2,FALSE())</f>
        <v>Guarnizioni Alpi</v>
      </c>
      <c r="F636" s="0" t="n">
        <v>2</v>
      </c>
      <c r="G636" s="0" t="n">
        <v>6</v>
      </c>
      <c r="H636" s="0" t="str">
        <f aca="false">IF(F636&lt;G636,"SI","NO")</f>
        <v>SI</v>
      </c>
    </row>
    <row r="637" customFormat="false" ht="15" hidden="false" customHeight="false" outlineLevel="0" collapsed="false">
      <c r="A637" s="0" t="s">
        <v>1756</v>
      </c>
      <c r="B637" s="0" t="s">
        <v>1402</v>
      </c>
      <c r="C637" s="0" t="s">
        <v>1757</v>
      </c>
      <c r="D637" s="2" t="s">
        <v>11</v>
      </c>
      <c r="E637" s="0" t="str">
        <f aca="false">VLOOKUP(D637,Fornitori!$A$2:$C$6,2,FALSE())</f>
        <v>Meccanica Bassi S.r.l.</v>
      </c>
      <c r="F637" s="0" t="n">
        <v>53</v>
      </c>
      <c r="G637" s="0" t="n">
        <v>16</v>
      </c>
      <c r="H637" s="0" t="str">
        <f aca="false">IF(F637&lt;G637,"SI","NO")</f>
        <v>NO</v>
      </c>
    </row>
    <row r="638" customFormat="false" ht="15" hidden="false" customHeight="false" outlineLevel="0" collapsed="false">
      <c r="A638" s="0" t="s">
        <v>1758</v>
      </c>
      <c r="B638" s="0" t="s">
        <v>1759</v>
      </c>
      <c r="C638" s="0" t="s">
        <v>1760</v>
      </c>
      <c r="D638" s="2" t="s">
        <v>15</v>
      </c>
      <c r="E638" s="0" t="str">
        <f aca="false">VLOOKUP(D638,Fornitori!$A$2:$C$6,2,FALSE())</f>
        <v>Rulmeca Italia</v>
      </c>
      <c r="F638" s="0" t="n">
        <v>42</v>
      </c>
      <c r="G638" s="0" t="n">
        <v>7</v>
      </c>
      <c r="H638" s="0" t="str">
        <f aca="false">IF(F638&lt;G638,"SI","NO")</f>
        <v>NO</v>
      </c>
    </row>
    <row r="639" customFormat="false" ht="15" hidden="false" customHeight="false" outlineLevel="0" collapsed="false">
      <c r="A639" s="0" t="s">
        <v>1761</v>
      </c>
      <c r="B639" s="0" t="s">
        <v>1762</v>
      </c>
      <c r="C639" s="0" t="s">
        <v>1763</v>
      </c>
      <c r="D639" s="2" t="s">
        <v>19</v>
      </c>
      <c r="E639" s="0" t="str">
        <f aca="false">VLOOKUP(D639,Fornitori!$A$2:$C$6,2,FALSE())</f>
        <v>Elettrotecnica Ferri</v>
      </c>
      <c r="F639" s="0" t="n">
        <v>16</v>
      </c>
      <c r="G639" s="0" t="n">
        <v>8</v>
      </c>
      <c r="H639" s="0" t="str">
        <f aca="false">IF(F639&lt;G639,"SI","NO")</f>
        <v>NO</v>
      </c>
    </row>
    <row r="640" customFormat="false" ht="15" hidden="false" customHeight="false" outlineLevel="0" collapsed="false">
      <c r="A640" s="0" t="s">
        <v>1764</v>
      </c>
      <c r="B640" s="0" t="s">
        <v>1765</v>
      </c>
      <c r="C640" s="0" t="s">
        <v>421</v>
      </c>
      <c r="D640" s="2" t="s">
        <v>23</v>
      </c>
      <c r="E640" s="0" t="str">
        <f aca="false">VLOOKUP(D640,Fornitori!$A$2:$C$6,2,FALSE())</f>
        <v>Pneumax Service</v>
      </c>
      <c r="F640" s="0" t="n">
        <v>17</v>
      </c>
      <c r="G640" s="0" t="n">
        <v>22</v>
      </c>
      <c r="H640" s="0" t="str">
        <f aca="false">IF(F640&lt;G640,"SI","NO")</f>
        <v>SI</v>
      </c>
    </row>
    <row r="641" customFormat="false" ht="15" hidden="false" customHeight="false" outlineLevel="0" collapsed="false">
      <c r="A641" s="0" t="s">
        <v>1766</v>
      </c>
      <c r="B641" s="0" t="s">
        <v>1767</v>
      </c>
      <c r="C641" s="0" t="s">
        <v>618</v>
      </c>
      <c r="D641" s="2" t="s">
        <v>27</v>
      </c>
      <c r="E641" s="0" t="str">
        <f aca="false">VLOOKUP(D641,Fornitori!$A$2:$C$6,2,FALSE())</f>
        <v>Guarnizioni Alpi</v>
      </c>
      <c r="F641" s="0" t="n">
        <v>36</v>
      </c>
      <c r="G641" s="0" t="n">
        <v>22</v>
      </c>
      <c r="H641" s="0" t="str">
        <f aca="false">IF(F641&lt;G641,"SI","NO")</f>
        <v>NO</v>
      </c>
    </row>
    <row r="642" customFormat="false" ht="15" hidden="false" customHeight="false" outlineLevel="0" collapsed="false">
      <c r="A642" s="0" t="s">
        <v>1768</v>
      </c>
      <c r="B642" s="0" t="s">
        <v>1769</v>
      </c>
      <c r="C642" s="0" t="s">
        <v>1770</v>
      </c>
      <c r="D642" s="2" t="s">
        <v>11</v>
      </c>
      <c r="E642" s="0" t="str">
        <f aca="false">VLOOKUP(D642,Fornitori!$A$2:$C$6,2,FALSE())</f>
        <v>Meccanica Bassi S.r.l.</v>
      </c>
      <c r="F642" s="0" t="n">
        <v>18</v>
      </c>
      <c r="G642" s="0" t="n">
        <v>17</v>
      </c>
      <c r="H642" s="0" t="str">
        <f aca="false">IF(F642&lt;G642,"SI","NO")</f>
        <v>NO</v>
      </c>
    </row>
    <row r="643" customFormat="false" ht="15" hidden="false" customHeight="false" outlineLevel="0" collapsed="false">
      <c r="A643" s="0" t="s">
        <v>1771</v>
      </c>
      <c r="B643" s="0" t="s">
        <v>1772</v>
      </c>
      <c r="C643" s="0" t="s">
        <v>1773</v>
      </c>
      <c r="D643" s="2" t="s">
        <v>15</v>
      </c>
      <c r="E643" s="0" t="str">
        <f aca="false">VLOOKUP(D643,Fornitori!$A$2:$C$6,2,FALSE())</f>
        <v>Rulmeca Italia</v>
      </c>
      <c r="F643" s="0" t="n">
        <v>34</v>
      </c>
      <c r="G643" s="0" t="n">
        <v>21</v>
      </c>
      <c r="H643" s="0" t="str">
        <f aca="false">IF(F643&lt;G643,"SI","NO")</f>
        <v>NO</v>
      </c>
    </row>
    <row r="644" customFormat="false" ht="15" hidden="false" customHeight="false" outlineLevel="0" collapsed="false">
      <c r="A644" s="0" t="s">
        <v>1774</v>
      </c>
      <c r="B644" s="0" t="s">
        <v>880</v>
      </c>
      <c r="C644" s="0" t="s">
        <v>966</v>
      </c>
      <c r="D644" s="2" t="s">
        <v>19</v>
      </c>
      <c r="E644" s="0" t="str">
        <f aca="false">VLOOKUP(D644,Fornitori!$A$2:$C$6,2,FALSE())</f>
        <v>Elettrotecnica Ferri</v>
      </c>
      <c r="F644" s="0" t="n">
        <v>31</v>
      </c>
      <c r="G644" s="0" t="n">
        <v>23</v>
      </c>
      <c r="H644" s="0" t="str">
        <f aca="false">IF(F644&lt;G644,"SI","NO")</f>
        <v>NO</v>
      </c>
    </row>
    <row r="645" customFormat="false" ht="15" hidden="false" customHeight="false" outlineLevel="0" collapsed="false">
      <c r="A645" s="0" t="s">
        <v>1775</v>
      </c>
      <c r="B645" s="0" t="s">
        <v>689</v>
      </c>
      <c r="C645" s="0" t="s">
        <v>1776</v>
      </c>
      <c r="D645" s="2" t="s">
        <v>23</v>
      </c>
      <c r="E645" s="0" t="str">
        <f aca="false">VLOOKUP(D645,Fornitori!$A$2:$C$6,2,FALSE())</f>
        <v>Pneumax Service</v>
      </c>
      <c r="F645" s="0" t="n">
        <v>10</v>
      </c>
      <c r="G645" s="0" t="n">
        <v>9</v>
      </c>
      <c r="H645" s="0" t="str">
        <f aca="false">IF(F645&lt;G645,"SI","NO")</f>
        <v>NO</v>
      </c>
    </row>
    <row r="646" customFormat="false" ht="15" hidden="false" customHeight="false" outlineLevel="0" collapsed="false">
      <c r="A646" s="0" t="s">
        <v>1777</v>
      </c>
      <c r="B646" s="0" t="s">
        <v>1778</v>
      </c>
      <c r="C646" s="0" t="s">
        <v>1779</v>
      </c>
      <c r="D646" s="2" t="s">
        <v>27</v>
      </c>
      <c r="E646" s="0" t="str">
        <f aca="false">VLOOKUP(D646,Fornitori!$A$2:$C$6,2,FALSE())</f>
        <v>Guarnizioni Alpi</v>
      </c>
      <c r="F646" s="0" t="n">
        <v>33</v>
      </c>
      <c r="G646" s="0" t="n">
        <v>8</v>
      </c>
      <c r="H646" s="0" t="str">
        <f aca="false">IF(F646&lt;G646,"SI","NO")</f>
        <v>NO</v>
      </c>
    </row>
    <row r="647" customFormat="false" ht="15" hidden="false" customHeight="false" outlineLevel="0" collapsed="false">
      <c r="A647" s="0" t="s">
        <v>1780</v>
      </c>
      <c r="B647" s="0" t="s">
        <v>1375</v>
      </c>
      <c r="C647" s="0" t="s">
        <v>893</v>
      </c>
      <c r="D647" s="2" t="s">
        <v>11</v>
      </c>
      <c r="E647" s="0" t="str">
        <f aca="false">VLOOKUP(D647,Fornitori!$A$2:$C$6,2,FALSE())</f>
        <v>Meccanica Bassi S.r.l.</v>
      </c>
      <c r="F647" s="0" t="n">
        <v>37</v>
      </c>
      <c r="G647" s="0" t="n">
        <v>11</v>
      </c>
      <c r="H647" s="0" t="str">
        <f aca="false">IF(F647&lt;G647,"SI","NO")</f>
        <v>NO</v>
      </c>
    </row>
    <row r="648" customFormat="false" ht="15" hidden="false" customHeight="false" outlineLevel="0" collapsed="false">
      <c r="A648" s="0" t="s">
        <v>1781</v>
      </c>
      <c r="B648" s="0" t="s">
        <v>1782</v>
      </c>
      <c r="C648" s="0" t="s">
        <v>1783</v>
      </c>
      <c r="D648" s="2" t="s">
        <v>15</v>
      </c>
      <c r="E648" s="0" t="str">
        <f aca="false">VLOOKUP(D648,Fornitori!$A$2:$C$6,2,FALSE())</f>
        <v>Rulmeca Italia</v>
      </c>
      <c r="F648" s="0" t="n">
        <v>38</v>
      </c>
      <c r="G648" s="0" t="n">
        <v>15</v>
      </c>
      <c r="H648" s="0" t="str">
        <f aca="false">IF(F648&lt;G648,"SI","NO")</f>
        <v>NO</v>
      </c>
    </row>
    <row r="649" customFormat="false" ht="15" hidden="false" customHeight="false" outlineLevel="0" collapsed="false">
      <c r="A649" s="0" t="s">
        <v>1784</v>
      </c>
      <c r="B649" s="0" t="s">
        <v>1785</v>
      </c>
      <c r="C649" s="0" t="s">
        <v>1618</v>
      </c>
      <c r="D649" s="2" t="s">
        <v>19</v>
      </c>
      <c r="E649" s="0" t="str">
        <f aca="false">VLOOKUP(D649,Fornitori!$A$2:$C$6,2,FALSE())</f>
        <v>Elettrotecnica Ferri</v>
      </c>
      <c r="F649" s="0" t="n">
        <v>44</v>
      </c>
      <c r="G649" s="0" t="n">
        <v>10</v>
      </c>
      <c r="H649" s="0" t="str">
        <f aca="false">IF(F649&lt;G649,"SI","NO")</f>
        <v>NO</v>
      </c>
    </row>
    <row r="650" customFormat="false" ht="15" hidden="false" customHeight="false" outlineLevel="0" collapsed="false">
      <c r="A650" s="0" t="s">
        <v>1786</v>
      </c>
      <c r="B650" s="0" t="s">
        <v>1787</v>
      </c>
      <c r="C650" s="0" t="s">
        <v>544</v>
      </c>
      <c r="D650" s="2" t="s">
        <v>23</v>
      </c>
      <c r="E650" s="0" t="str">
        <f aca="false">VLOOKUP(D650,Fornitori!$A$2:$C$6,2,FALSE())</f>
        <v>Pneumax Service</v>
      </c>
      <c r="F650" s="0" t="n">
        <v>58</v>
      </c>
      <c r="G650" s="0" t="n">
        <v>10</v>
      </c>
      <c r="H650" s="0" t="str">
        <f aca="false">IF(F650&lt;G650,"SI","NO")</f>
        <v>NO</v>
      </c>
    </row>
    <row r="651" customFormat="false" ht="15" hidden="false" customHeight="false" outlineLevel="0" collapsed="false">
      <c r="A651" s="0" t="s">
        <v>1788</v>
      </c>
      <c r="B651" s="0" t="s">
        <v>1789</v>
      </c>
      <c r="C651" s="0" t="s">
        <v>758</v>
      </c>
      <c r="D651" s="2" t="s">
        <v>27</v>
      </c>
      <c r="E651" s="0" t="str">
        <f aca="false">VLOOKUP(D651,Fornitori!$A$2:$C$6,2,FALSE())</f>
        <v>Guarnizioni Alpi</v>
      </c>
      <c r="F651" s="0" t="n">
        <v>5</v>
      </c>
      <c r="G651" s="0" t="n">
        <v>12</v>
      </c>
      <c r="H651" s="0" t="str">
        <f aca="false">IF(F651&lt;G651,"SI","NO")</f>
        <v>SI</v>
      </c>
    </row>
    <row r="652" customFormat="false" ht="15" hidden="false" customHeight="false" outlineLevel="0" collapsed="false">
      <c r="A652" s="0" t="s">
        <v>1790</v>
      </c>
      <c r="B652" s="0" t="s">
        <v>1791</v>
      </c>
      <c r="C652" s="0" t="s">
        <v>919</v>
      </c>
      <c r="D652" s="2" t="s">
        <v>11</v>
      </c>
      <c r="E652" s="0" t="str">
        <f aca="false">VLOOKUP(D652,Fornitori!$A$2:$C$6,2,FALSE())</f>
        <v>Meccanica Bassi S.r.l.</v>
      </c>
      <c r="F652" s="0" t="n">
        <v>22</v>
      </c>
      <c r="G652" s="0" t="n">
        <v>9</v>
      </c>
      <c r="H652" s="0" t="str">
        <f aca="false">IF(F652&lt;G652,"SI","NO")</f>
        <v>NO</v>
      </c>
    </row>
    <row r="653" customFormat="false" ht="15" hidden="false" customHeight="false" outlineLevel="0" collapsed="false">
      <c r="A653" s="0" t="s">
        <v>1792</v>
      </c>
      <c r="B653" s="0" t="s">
        <v>1793</v>
      </c>
      <c r="C653" s="0" t="s">
        <v>749</v>
      </c>
      <c r="D653" s="2" t="s">
        <v>15</v>
      </c>
      <c r="E653" s="0" t="str">
        <f aca="false">VLOOKUP(D653,Fornitori!$A$2:$C$6,2,FALSE())</f>
        <v>Rulmeca Italia</v>
      </c>
      <c r="F653" s="0" t="n">
        <v>45</v>
      </c>
      <c r="G653" s="0" t="n">
        <v>7</v>
      </c>
      <c r="H653" s="0" t="str">
        <f aca="false">IF(F653&lt;G653,"SI","NO")</f>
        <v>NO</v>
      </c>
    </row>
    <row r="654" customFormat="false" ht="15" hidden="false" customHeight="false" outlineLevel="0" collapsed="false">
      <c r="A654" s="0" t="s">
        <v>1794</v>
      </c>
      <c r="B654" s="0" t="s">
        <v>659</v>
      </c>
      <c r="C654" s="0" t="s">
        <v>711</v>
      </c>
      <c r="D654" s="2" t="s">
        <v>19</v>
      </c>
      <c r="E654" s="0" t="str">
        <f aca="false">VLOOKUP(D654,Fornitori!$A$2:$C$6,2,FALSE())</f>
        <v>Elettrotecnica Ferri</v>
      </c>
      <c r="F654" s="0" t="n">
        <v>49</v>
      </c>
      <c r="G654" s="0" t="n">
        <v>15</v>
      </c>
      <c r="H654" s="0" t="str">
        <f aca="false">IF(F654&lt;G654,"SI","NO")</f>
        <v>NO</v>
      </c>
    </row>
    <row r="655" customFormat="false" ht="15" hidden="false" customHeight="false" outlineLevel="0" collapsed="false">
      <c r="A655" s="0" t="s">
        <v>1795</v>
      </c>
      <c r="B655" s="0" t="s">
        <v>1796</v>
      </c>
      <c r="C655" s="0" t="s">
        <v>1394</v>
      </c>
      <c r="D655" s="2" t="s">
        <v>23</v>
      </c>
      <c r="E655" s="0" t="str">
        <f aca="false">VLOOKUP(D655,Fornitori!$A$2:$C$6,2,FALSE())</f>
        <v>Pneumax Service</v>
      </c>
      <c r="F655" s="0" t="n">
        <v>40</v>
      </c>
      <c r="G655" s="0" t="n">
        <v>6</v>
      </c>
      <c r="H655" s="0" t="str">
        <f aca="false">IF(F655&lt;G655,"SI","NO")</f>
        <v>NO</v>
      </c>
    </row>
    <row r="656" customFormat="false" ht="15" hidden="false" customHeight="false" outlineLevel="0" collapsed="false">
      <c r="A656" s="0" t="s">
        <v>1797</v>
      </c>
      <c r="B656" s="0" t="s">
        <v>1798</v>
      </c>
      <c r="C656" s="0" t="s">
        <v>1799</v>
      </c>
      <c r="D656" s="2" t="s">
        <v>27</v>
      </c>
      <c r="E656" s="0" t="str">
        <f aca="false">VLOOKUP(D656,Fornitori!$A$2:$C$6,2,FALSE())</f>
        <v>Guarnizioni Alpi</v>
      </c>
      <c r="F656" s="0" t="n">
        <v>22</v>
      </c>
      <c r="G656" s="0" t="n">
        <v>23</v>
      </c>
      <c r="H656" s="0" t="str">
        <f aca="false">IF(F656&lt;G656,"SI","NO")</f>
        <v>SI</v>
      </c>
    </row>
    <row r="657" customFormat="false" ht="15" hidden="false" customHeight="false" outlineLevel="0" collapsed="false">
      <c r="A657" s="0" t="s">
        <v>1800</v>
      </c>
      <c r="B657" s="0" t="s">
        <v>1801</v>
      </c>
      <c r="C657" s="0" t="s">
        <v>424</v>
      </c>
      <c r="D657" s="2" t="s">
        <v>11</v>
      </c>
      <c r="E657" s="0" t="str">
        <f aca="false">VLOOKUP(D657,Fornitori!$A$2:$C$6,2,FALSE())</f>
        <v>Meccanica Bassi S.r.l.</v>
      </c>
      <c r="F657" s="0" t="n">
        <v>53</v>
      </c>
      <c r="G657" s="0" t="n">
        <v>14</v>
      </c>
      <c r="H657" s="0" t="str">
        <f aca="false">IF(F657&lt;G657,"SI","NO")</f>
        <v>NO</v>
      </c>
    </row>
    <row r="658" customFormat="false" ht="15" hidden="false" customHeight="false" outlineLevel="0" collapsed="false">
      <c r="A658" s="0" t="s">
        <v>1802</v>
      </c>
      <c r="B658" s="0" t="s">
        <v>62</v>
      </c>
      <c r="C658" s="0" t="s">
        <v>1803</v>
      </c>
      <c r="D658" s="2" t="s">
        <v>15</v>
      </c>
      <c r="E658" s="0" t="str">
        <f aca="false">VLOOKUP(D658,Fornitori!$A$2:$C$6,2,FALSE())</f>
        <v>Rulmeca Italia</v>
      </c>
      <c r="F658" s="0" t="n">
        <v>52</v>
      </c>
      <c r="G658" s="0" t="n">
        <v>21</v>
      </c>
      <c r="H658" s="0" t="str">
        <f aca="false">IF(F658&lt;G658,"SI","NO")</f>
        <v>NO</v>
      </c>
    </row>
    <row r="659" customFormat="false" ht="15" hidden="false" customHeight="false" outlineLevel="0" collapsed="false">
      <c r="A659" s="0" t="s">
        <v>1804</v>
      </c>
      <c r="B659" s="0" t="s">
        <v>1805</v>
      </c>
      <c r="C659" s="0" t="s">
        <v>1291</v>
      </c>
      <c r="D659" s="2" t="s">
        <v>19</v>
      </c>
      <c r="E659" s="0" t="str">
        <f aca="false">VLOOKUP(D659,Fornitori!$A$2:$C$6,2,FALSE())</f>
        <v>Elettrotecnica Ferri</v>
      </c>
      <c r="F659" s="0" t="n">
        <v>50</v>
      </c>
      <c r="G659" s="0" t="n">
        <v>13</v>
      </c>
      <c r="H659" s="0" t="str">
        <f aca="false">IF(F659&lt;G659,"SI","NO")</f>
        <v>NO</v>
      </c>
    </row>
    <row r="660" customFormat="false" ht="15" hidden="false" customHeight="false" outlineLevel="0" collapsed="false">
      <c r="A660" s="0" t="s">
        <v>1806</v>
      </c>
      <c r="B660" s="0" t="s">
        <v>1807</v>
      </c>
      <c r="C660" s="0" t="s">
        <v>1808</v>
      </c>
      <c r="D660" s="2" t="s">
        <v>23</v>
      </c>
      <c r="E660" s="0" t="str">
        <f aca="false">VLOOKUP(D660,Fornitori!$A$2:$C$6,2,FALSE())</f>
        <v>Pneumax Service</v>
      </c>
      <c r="F660" s="0" t="n">
        <v>35</v>
      </c>
      <c r="G660" s="0" t="n">
        <v>12</v>
      </c>
      <c r="H660" s="0" t="str">
        <f aca="false">IF(F660&lt;G660,"SI","NO")</f>
        <v>NO</v>
      </c>
    </row>
    <row r="661" customFormat="false" ht="15" hidden="false" customHeight="false" outlineLevel="0" collapsed="false">
      <c r="A661" s="0" t="s">
        <v>1809</v>
      </c>
      <c r="B661" s="0" t="s">
        <v>1810</v>
      </c>
      <c r="C661" s="0" t="s">
        <v>1811</v>
      </c>
      <c r="D661" s="2" t="s">
        <v>27</v>
      </c>
      <c r="E661" s="0" t="str">
        <f aca="false">VLOOKUP(D661,Fornitori!$A$2:$C$6,2,FALSE())</f>
        <v>Guarnizioni Alpi</v>
      </c>
      <c r="F661" s="0" t="n">
        <v>50</v>
      </c>
      <c r="G661" s="0" t="n">
        <v>17</v>
      </c>
      <c r="H661" s="0" t="str">
        <f aca="false">IF(F661&lt;G661,"SI","NO")</f>
        <v>NO</v>
      </c>
    </row>
    <row r="662" customFormat="false" ht="15" hidden="false" customHeight="false" outlineLevel="0" collapsed="false">
      <c r="A662" s="0" t="s">
        <v>1812</v>
      </c>
      <c r="B662" s="0" t="s">
        <v>1813</v>
      </c>
      <c r="C662" s="0" t="s">
        <v>26</v>
      </c>
      <c r="D662" s="2" t="s">
        <v>11</v>
      </c>
      <c r="E662" s="0" t="str">
        <f aca="false">VLOOKUP(D662,Fornitori!$A$2:$C$6,2,FALSE())</f>
        <v>Meccanica Bassi S.r.l.</v>
      </c>
      <c r="F662" s="0" t="n">
        <v>41</v>
      </c>
      <c r="G662" s="0" t="n">
        <v>15</v>
      </c>
      <c r="H662" s="0" t="str">
        <f aca="false">IF(F662&lt;G662,"SI","NO")</f>
        <v>NO</v>
      </c>
    </row>
    <row r="663" customFormat="false" ht="15" hidden="false" customHeight="false" outlineLevel="0" collapsed="false">
      <c r="A663" s="0" t="s">
        <v>1814</v>
      </c>
      <c r="B663" s="0" t="s">
        <v>573</v>
      </c>
      <c r="C663" s="0" t="s">
        <v>1815</v>
      </c>
      <c r="D663" s="2" t="s">
        <v>15</v>
      </c>
      <c r="E663" s="0" t="str">
        <f aca="false">VLOOKUP(D663,Fornitori!$A$2:$C$6,2,FALSE())</f>
        <v>Rulmeca Italia</v>
      </c>
      <c r="F663" s="0" t="n">
        <v>38</v>
      </c>
      <c r="G663" s="0" t="n">
        <v>5</v>
      </c>
      <c r="H663" s="0" t="str">
        <f aca="false">IF(F663&lt;G663,"SI","NO")</f>
        <v>NO</v>
      </c>
    </row>
    <row r="664" customFormat="false" ht="15" hidden="false" customHeight="false" outlineLevel="0" collapsed="false">
      <c r="A664" s="0" t="s">
        <v>1816</v>
      </c>
      <c r="B664" s="0" t="s">
        <v>1817</v>
      </c>
      <c r="C664" s="0" t="s">
        <v>1779</v>
      </c>
      <c r="D664" s="2" t="s">
        <v>19</v>
      </c>
      <c r="E664" s="0" t="str">
        <f aca="false">VLOOKUP(D664,Fornitori!$A$2:$C$6,2,FALSE())</f>
        <v>Elettrotecnica Ferri</v>
      </c>
      <c r="F664" s="0" t="n">
        <v>19</v>
      </c>
      <c r="G664" s="0" t="n">
        <v>19</v>
      </c>
      <c r="H664" s="0" t="str">
        <f aca="false">IF(F664&lt;G664,"SI","NO")</f>
        <v>NO</v>
      </c>
    </row>
    <row r="665" customFormat="false" ht="15" hidden="false" customHeight="false" outlineLevel="0" collapsed="false">
      <c r="A665" s="0" t="s">
        <v>1818</v>
      </c>
      <c r="B665" s="0" t="s">
        <v>1819</v>
      </c>
      <c r="C665" s="0" t="s">
        <v>511</v>
      </c>
      <c r="D665" s="2" t="s">
        <v>23</v>
      </c>
      <c r="E665" s="0" t="str">
        <f aca="false">VLOOKUP(D665,Fornitori!$A$2:$C$6,2,FALSE())</f>
        <v>Pneumax Service</v>
      </c>
      <c r="F665" s="0" t="n">
        <v>25</v>
      </c>
      <c r="G665" s="0" t="n">
        <v>19</v>
      </c>
      <c r="H665" s="0" t="str">
        <f aca="false">IF(F665&lt;G665,"SI","NO")</f>
        <v>NO</v>
      </c>
    </row>
    <row r="666" customFormat="false" ht="15" hidden="false" customHeight="false" outlineLevel="0" collapsed="false">
      <c r="A666" s="0" t="s">
        <v>1820</v>
      </c>
      <c r="B666" s="0" t="s">
        <v>1821</v>
      </c>
      <c r="C666" s="0" t="s">
        <v>1822</v>
      </c>
      <c r="D666" s="2" t="s">
        <v>27</v>
      </c>
      <c r="E666" s="0" t="str">
        <f aca="false">VLOOKUP(D666,Fornitori!$A$2:$C$6,2,FALSE())</f>
        <v>Guarnizioni Alpi</v>
      </c>
      <c r="F666" s="0" t="n">
        <v>11</v>
      </c>
      <c r="G666" s="0" t="n">
        <v>19</v>
      </c>
      <c r="H666" s="0" t="str">
        <f aca="false">IF(F666&lt;G666,"SI","NO")</f>
        <v>SI</v>
      </c>
    </row>
    <row r="667" customFormat="false" ht="15" hidden="false" customHeight="false" outlineLevel="0" collapsed="false">
      <c r="A667" s="0" t="s">
        <v>1823</v>
      </c>
      <c r="B667" s="0" t="s">
        <v>1824</v>
      </c>
      <c r="C667" s="0" t="s">
        <v>1825</v>
      </c>
      <c r="D667" s="2" t="s">
        <v>11</v>
      </c>
      <c r="E667" s="0" t="str">
        <f aca="false">VLOOKUP(D667,Fornitori!$A$2:$C$6,2,FALSE())</f>
        <v>Meccanica Bassi S.r.l.</v>
      </c>
      <c r="F667" s="0" t="n">
        <v>43</v>
      </c>
      <c r="G667" s="0" t="n">
        <v>6</v>
      </c>
      <c r="H667" s="0" t="str">
        <f aca="false">IF(F667&lt;G667,"SI","NO")</f>
        <v>NO</v>
      </c>
    </row>
    <row r="668" customFormat="false" ht="15" hidden="false" customHeight="false" outlineLevel="0" collapsed="false">
      <c r="A668" s="0" t="s">
        <v>1826</v>
      </c>
      <c r="B668" s="0" t="s">
        <v>1709</v>
      </c>
      <c r="C668" s="0" t="s">
        <v>1827</v>
      </c>
      <c r="D668" s="2" t="s">
        <v>15</v>
      </c>
      <c r="E668" s="0" t="str">
        <f aca="false">VLOOKUP(D668,Fornitori!$A$2:$C$6,2,FALSE())</f>
        <v>Rulmeca Italia</v>
      </c>
      <c r="F668" s="0" t="n">
        <v>9</v>
      </c>
      <c r="G668" s="0" t="n">
        <v>16</v>
      </c>
      <c r="H668" s="0" t="str">
        <f aca="false">IF(F668&lt;G668,"SI","NO")</f>
        <v>SI</v>
      </c>
    </row>
    <row r="669" customFormat="false" ht="15" hidden="false" customHeight="false" outlineLevel="0" collapsed="false">
      <c r="A669" s="0" t="s">
        <v>1828</v>
      </c>
      <c r="B669" s="0" t="s">
        <v>1829</v>
      </c>
      <c r="C669" s="0" t="s">
        <v>1830</v>
      </c>
      <c r="D669" s="2" t="s">
        <v>19</v>
      </c>
      <c r="E669" s="0" t="str">
        <f aca="false">VLOOKUP(D669,Fornitori!$A$2:$C$6,2,FALSE())</f>
        <v>Elettrotecnica Ferri</v>
      </c>
      <c r="F669" s="0" t="n">
        <v>57</v>
      </c>
      <c r="G669" s="0" t="n">
        <v>17</v>
      </c>
      <c r="H669" s="0" t="str">
        <f aca="false">IF(F669&lt;G669,"SI","NO")</f>
        <v>NO</v>
      </c>
    </row>
    <row r="670" customFormat="false" ht="15" hidden="false" customHeight="false" outlineLevel="0" collapsed="false">
      <c r="A670" s="0" t="s">
        <v>1831</v>
      </c>
      <c r="B670" s="0" t="s">
        <v>1832</v>
      </c>
      <c r="C670" s="0" t="s">
        <v>1833</v>
      </c>
      <c r="D670" s="2" t="s">
        <v>23</v>
      </c>
      <c r="E670" s="0" t="str">
        <f aca="false">VLOOKUP(D670,Fornitori!$A$2:$C$6,2,FALSE())</f>
        <v>Pneumax Service</v>
      </c>
      <c r="F670" s="0" t="n">
        <v>38</v>
      </c>
      <c r="G670" s="0" t="n">
        <v>11</v>
      </c>
      <c r="H670" s="0" t="str">
        <f aca="false">IF(F670&lt;G670,"SI","NO")</f>
        <v>NO</v>
      </c>
    </row>
    <row r="671" customFormat="false" ht="15" hidden="false" customHeight="false" outlineLevel="0" collapsed="false">
      <c r="A671" s="0" t="s">
        <v>1834</v>
      </c>
      <c r="B671" s="0" t="s">
        <v>540</v>
      </c>
      <c r="C671" s="0" t="s">
        <v>1835</v>
      </c>
      <c r="D671" s="2" t="s">
        <v>27</v>
      </c>
      <c r="E671" s="0" t="str">
        <f aca="false">VLOOKUP(D671,Fornitori!$A$2:$C$6,2,FALSE())</f>
        <v>Guarnizioni Alpi</v>
      </c>
      <c r="F671" s="0" t="n">
        <v>11</v>
      </c>
      <c r="G671" s="0" t="n">
        <v>8</v>
      </c>
      <c r="H671" s="0" t="str">
        <f aca="false">IF(F671&lt;G671,"SI","NO")</f>
        <v>NO</v>
      </c>
    </row>
    <row r="672" customFormat="false" ht="15" hidden="false" customHeight="false" outlineLevel="0" collapsed="false">
      <c r="A672" s="0" t="s">
        <v>1836</v>
      </c>
      <c r="B672" s="0" t="s">
        <v>1837</v>
      </c>
      <c r="C672" s="0" t="s">
        <v>1838</v>
      </c>
      <c r="D672" s="2" t="s">
        <v>11</v>
      </c>
      <c r="E672" s="0" t="str">
        <f aca="false">VLOOKUP(D672,Fornitori!$A$2:$C$6,2,FALSE())</f>
        <v>Meccanica Bassi S.r.l.</v>
      </c>
      <c r="F672" s="0" t="n">
        <v>43</v>
      </c>
      <c r="G672" s="0" t="n">
        <v>8</v>
      </c>
      <c r="H672" s="0" t="str">
        <f aca="false">IF(F672&lt;G672,"SI","NO")</f>
        <v>NO</v>
      </c>
    </row>
    <row r="673" customFormat="false" ht="15" hidden="false" customHeight="false" outlineLevel="0" collapsed="false">
      <c r="A673" s="0" t="s">
        <v>1839</v>
      </c>
      <c r="B673" s="0" t="s">
        <v>1840</v>
      </c>
      <c r="C673" s="0" t="s">
        <v>1841</v>
      </c>
      <c r="D673" s="2" t="s">
        <v>15</v>
      </c>
      <c r="E673" s="0" t="str">
        <f aca="false">VLOOKUP(D673,Fornitori!$A$2:$C$6,2,FALSE())</f>
        <v>Rulmeca Italia</v>
      </c>
      <c r="F673" s="0" t="n">
        <v>4</v>
      </c>
      <c r="G673" s="0" t="n">
        <v>21</v>
      </c>
      <c r="H673" s="0" t="str">
        <f aca="false">IF(F673&lt;G673,"SI","NO")</f>
        <v>SI</v>
      </c>
    </row>
    <row r="674" customFormat="false" ht="15" hidden="false" customHeight="false" outlineLevel="0" collapsed="false">
      <c r="A674" s="0" t="s">
        <v>1842</v>
      </c>
      <c r="B674" s="0" t="s">
        <v>1843</v>
      </c>
      <c r="C674" s="0" t="s">
        <v>1844</v>
      </c>
      <c r="D674" s="2" t="s">
        <v>19</v>
      </c>
      <c r="E674" s="0" t="str">
        <f aca="false">VLOOKUP(D674,Fornitori!$A$2:$C$6,2,FALSE())</f>
        <v>Elettrotecnica Ferri</v>
      </c>
      <c r="F674" s="0" t="n">
        <v>19</v>
      </c>
      <c r="G674" s="0" t="n">
        <v>17</v>
      </c>
      <c r="H674" s="0" t="str">
        <f aca="false">IF(F674&lt;G674,"SI","NO")</f>
        <v>NO</v>
      </c>
    </row>
    <row r="675" customFormat="false" ht="15" hidden="false" customHeight="false" outlineLevel="0" collapsed="false">
      <c r="A675" s="0" t="s">
        <v>1845</v>
      </c>
      <c r="B675" s="0" t="s">
        <v>662</v>
      </c>
      <c r="C675" s="0" t="s">
        <v>1448</v>
      </c>
      <c r="D675" s="2" t="s">
        <v>23</v>
      </c>
      <c r="E675" s="0" t="str">
        <f aca="false">VLOOKUP(D675,Fornitori!$A$2:$C$6,2,FALSE())</f>
        <v>Pneumax Service</v>
      </c>
      <c r="F675" s="0" t="n">
        <v>44</v>
      </c>
      <c r="G675" s="0" t="n">
        <v>5</v>
      </c>
      <c r="H675" s="0" t="str">
        <f aca="false">IF(F675&lt;G675,"SI","NO")</f>
        <v>NO</v>
      </c>
    </row>
    <row r="676" customFormat="false" ht="15" hidden="false" customHeight="false" outlineLevel="0" collapsed="false">
      <c r="A676" s="0" t="s">
        <v>1846</v>
      </c>
      <c r="B676" s="0" t="s">
        <v>1847</v>
      </c>
      <c r="C676" s="0" t="s">
        <v>1848</v>
      </c>
      <c r="D676" s="2" t="s">
        <v>27</v>
      </c>
      <c r="E676" s="0" t="str">
        <f aca="false">VLOOKUP(D676,Fornitori!$A$2:$C$6,2,FALSE())</f>
        <v>Guarnizioni Alpi</v>
      </c>
      <c r="F676" s="0" t="n">
        <v>28</v>
      </c>
      <c r="G676" s="0" t="n">
        <v>14</v>
      </c>
      <c r="H676" s="0" t="str">
        <f aca="false">IF(F676&lt;G676,"SI","NO")</f>
        <v>NO</v>
      </c>
    </row>
    <row r="677" customFormat="false" ht="15" hidden="false" customHeight="false" outlineLevel="0" collapsed="false">
      <c r="A677" s="0" t="s">
        <v>1849</v>
      </c>
      <c r="B677" s="0" t="s">
        <v>1850</v>
      </c>
      <c r="C677" s="0" t="s">
        <v>1851</v>
      </c>
      <c r="D677" s="2" t="s">
        <v>11</v>
      </c>
      <c r="E677" s="0" t="str">
        <f aca="false">VLOOKUP(D677,Fornitori!$A$2:$C$6,2,FALSE())</f>
        <v>Meccanica Bassi S.r.l.</v>
      </c>
      <c r="F677" s="0" t="n">
        <v>30</v>
      </c>
      <c r="G677" s="0" t="n">
        <v>9</v>
      </c>
      <c r="H677" s="0" t="str">
        <f aca="false">IF(F677&lt;G677,"SI","NO")</f>
        <v>NO</v>
      </c>
    </row>
    <row r="678" customFormat="false" ht="15" hidden="false" customHeight="false" outlineLevel="0" collapsed="false">
      <c r="A678" s="0" t="s">
        <v>1852</v>
      </c>
      <c r="B678" s="0" t="s">
        <v>1853</v>
      </c>
      <c r="C678" s="0" t="s">
        <v>1854</v>
      </c>
      <c r="D678" s="2" t="s">
        <v>15</v>
      </c>
      <c r="E678" s="0" t="str">
        <f aca="false">VLOOKUP(D678,Fornitori!$A$2:$C$6,2,FALSE())</f>
        <v>Rulmeca Italia</v>
      </c>
      <c r="F678" s="0" t="n">
        <v>58</v>
      </c>
      <c r="G678" s="0" t="n">
        <v>23</v>
      </c>
      <c r="H678" s="0" t="str">
        <f aca="false">IF(F678&lt;G678,"SI","NO")</f>
        <v>NO</v>
      </c>
    </row>
    <row r="679" customFormat="false" ht="15" hidden="false" customHeight="false" outlineLevel="0" collapsed="false">
      <c r="A679" s="0" t="s">
        <v>1855</v>
      </c>
      <c r="B679" s="0" t="s">
        <v>1856</v>
      </c>
      <c r="C679" s="0" t="s">
        <v>1086</v>
      </c>
      <c r="D679" s="2" t="s">
        <v>19</v>
      </c>
      <c r="E679" s="0" t="str">
        <f aca="false">VLOOKUP(D679,Fornitori!$A$2:$C$6,2,FALSE())</f>
        <v>Elettrotecnica Ferri</v>
      </c>
      <c r="F679" s="0" t="n">
        <v>41</v>
      </c>
      <c r="G679" s="0" t="n">
        <v>13</v>
      </c>
      <c r="H679" s="0" t="str">
        <f aca="false">IF(F679&lt;G679,"SI","NO")</f>
        <v>NO</v>
      </c>
    </row>
    <row r="680" customFormat="false" ht="15" hidden="false" customHeight="false" outlineLevel="0" collapsed="false">
      <c r="A680" s="0" t="s">
        <v>1857</v>
      </c>
      <c r="B680" s="0" t="s">
        <v>1858</v>
      </c>
      <c r="C680" s="0" t="s">
        <v>1859</v>
      </c>
      <c r="D680" s="2" t="s">
        <v>23</v>
      </c>
      <c r="E680" s="0" t="str">
        <f aca="false">VLOOKUP(D680,Fornitori!$A$2:$C$6,2,FALSE())</f>
        <v>Pneumax Service</v>
      </c>
      <c r="F680" s="0" t="n">
        <v>26</v>
      </c>
      <c r="G680" s="0" t="n">
        <v>7</v>
      </c>
      <c r="H680" s="0" t="str">
        <f aca="false">IF(F680&lt;G680,"SI","NO")</f>
        <v>NO</v>
      </c>
    </row>
    <row r="681" customFormat="false" ht="15" hidden="false" customHeight="false" outlineLevel="0" collapsed="false">
      <c r="A681" s="0" t="s">
        <v>1860</v>
      </c>
      <c r="B681" s="0" t="s">
        <v>1861</v>
      </c>
      <c r="C681" s="0" t="s">
        <v>1862</v>
      </c>
      <c r="D681" s="2" t="s">
        <v>27</v>
      </c>
      <c r="E681" s="0" t="str">
        <f aca="false">VLOOKUP(D681,Fornitori!$A$2:$C$6,2,FALSE())</f>
        <v>Guarnizioni Alpi</v>
      </c>
      <c r="F681" s="0" t="n">
        <v>17</v>
      </c>
      <c r="G681" s="0" t="n">
        <v>15</v>
      </c>
      <c r="H681" s="0" t="str">
        <f aca="false">IF(F681&lt;G681,"SI","NO")</f>
        <v>NO</v>
      </c>
    </row>
    <row r="682" customFormat="false" ht="15" hidden="false" customHeight="false" outlineLevel="0" collapsed="false">
      <c r="A682" s="0" t="s">
        <v>1863</v>
      </c>
      <c r="B682" s="0" t="s">
        <v>1864</v>
      </c>
      <c r="C682" s="0" t="s">
        <v>1428</v>
      </c>
      <c r="D682" s="2" t="s">
        <v>11</v>
      </c>
      <c r="E682" s="0" t="str">
        <f aca="false">VLOOKUP(D682,Fornitori!$A$2:$C$6,2,FALSE())</f>
        <v>Meccanica Bassi S.r.l.</v>
      </c>
      <c r="F682" s="0" t="n">
        <v>34</v>
      </c>
      <c r="G682" s="0" t="n">
        <v>16</v>
      </c>
      <c r="H682" s="0" t="str">
        <f aca="false">IF(F682&lt;G682,"SI","NO")</f>
        <v>NO</v>
      </c>
    </row>
    <row r="683" customFormat="false" ht="15" hidden="false" customHeight="false" outlineLevel="0" collapsed="false">
      <c r="A683" s="0" t="s">
        <v>1865</v>
      </c>
      <c r="B683" s="0" t="s">
        <v>1793</v>
      </c>
      <c r="C683" s="0" t="s">
        <v>1866</v>
      </c>
      <c r="D683" s="2" t="s">
        <v>15</v>
      </c>
      <c r="E683" s="0" t="str">
        <f aca="false">VLOOKUP(D683,Fornitori!$A$2:$C$6,2,FALSE())</f>
        <v>Rulmeca Italia</v>
      </c>
      <c r="F683" s="0" t="n">
        <v>47</v>
      </c>
      <c r="G683" s="0" t="n">
        <v>21</v>
      </c>
      <c r="H683" s="0" t="str">
        <f aca="false">IF(F683&lt;G683,"SI","NO")</f>
        <v>NO</v>
      </c>
    </row>
    <row r="684" customFormat="false" ht="15" hidden="false" customHeight="false" outlineLevel="0" collapsed="false">
      <c r="A684" s="0" t="s">
        <v>1867</v>
      </c>
      <c r="B684" s="0" t="s">
        <v>1868</v>
      </c>
      <c r="C684" s="0" t="s">
        <v>1869</v>
      </c>
      <c r="D684" s="2" t="s">
        <v>19</v>
      </c>
      <c r="E684" s="0" t="str">
        <f aca="false">VLOOKUP(D684,Fornitori!$A$2:$C$6,2,FALSE())</f>
        <v>Elettrotecnica Ferri</v>
      </c>
      <c r="F684" s="0" t="n">
        <v>19</v>
      </c>
      <c r="G684" s="0" t="n">
        <v>17</v>
      </c>
      <c r="H684" s="0" t="str">
        <f aca="false">IF(F684&lt;G684,"SI","NO")</f>
        <v>NO</v>
      </c>
    </row>
    <row r="685" customFormat="false" ht="15" hidden="false" customHeight="false" outlineLevel="0" collapsed="false">
      <c r="A685" s="0" t="s">
        <v>1870</v>
      </c>
      <c r="B685" s="0" t="s">
        <v>1871</v>
      </c>
      <c r="C685" s="0" t="s">
        <v>1872</v>
      </c>
      <c r="D685" s="2" t="s">
        <v>23</v>
      </c>
      <c r="E685" s="0" t="str">
        <f aca="false">VLOOKUP(D685,Fornitori!$A$2:$C$6,2,FALSE())</f>
        <v>Pneumax Service</v>
      </c>
      <c r="F685" s="0" t="n">
        <v>57</v>
      </c>
      <c r="G685" s="0" t="n">
        <v>20</v>
      </c>
      <c r="H685" s="0" t="str">
        <f aca="false">IF(F685&lt;G685,"SI","NO")</f>
        <v>NO</v>
      </c>
    </row>
    <row r="686" customFormat="false" ht="15" hidden="false" customHeight="false" outlineLevel="0" collapsed="false">
      <c r="A686" s="0" t="s">
        <v>1873</v>
      </c>
      <c r="B686" s="0" t="s">
        <v>1654</v>
      </c>
      <c r="C686" s="0" t="s">
        <v>1874</v>
      </c>
      <c r="D686" s="2" t="s">
        <v>27</v>
      </c>
      <c r="E686" s="0" t="str">
        <f aca="false">VLOOKUP(D686,Fornitori!$A$2:$C$6,2,FALSE())</f>
        <v>Guarnizioni Alpi</v>
      </c>
      <c r="F686" s="0" t="n">
        <v>6</v>
      </c>
      <c r="G686" s="0" t="n">
        <v>13</v>
      </c>
      <c r="H686" s="0" t="str">
        <f aca="false">IF(F686&lt;G686,"SI","NO")</f>
        <v>SI</v>
      </c>
    </row>
    <row r="687" customFormat="false" ht="15" hidden="false" customHeight="false" outlineLevel="0" collapsed="false">
      <c r="A687" s="0" t="s">
        <v>1875</v>
      </c>
      <c r="B687" s="0" t="s">
        <v>1876</v>
      </c>
      <c r="C687" s="0" t="s">
        <v>1877</v>
      </c>
      <c r="D687" s="2" t="s">
        <v>11</v>
      </c>
      <c r="E687" s="0" t="str">
        <f aca="false">VLOOKUP(D687,Fornitori!$A$2:$C$6,2,FALSE())</f>
        <v>Meccanica Bassi S.r.l.</v>
      </c>
      <c r="F687" s="0" t="n">
        <v>30</v>
      </c>
      <c r="G687" s="0" t="n">
        <v>13</v>
      </c>
      <c r="H687" s="0" t="str">
        <f aca="false">IF(F687&lt;G687,"SI","NO")</f>
        <v>NO</v>
      </c>
    </row>
    <row r="688" customFormat="false" ht="15" hidden="false" customHeight="false" outlineLevel="0" collapsed="false">
      <c r="A688" s="0" t="s">
        <v>1878</v>
      </c>
      <c r="B688" s="0" t="s">
        <v>1879</v>
      </c>
      <c r="C688" s="0" t="s">
        <v>1880</v>
      </c>
      <c r="D688" s="2" t="s">
        <v>15</v>
      </c>
      <c r="E688" s="0" t="str">
        <f aca="false">VLOOKUP(D688,Fornitori!$A$2:$C$6,2,FALSE())</f>
        <v>Rulmeca Italia</v>
      </c>
      <c r="F688" s="0" t="n">
        <v>26</v>
      </c>
      <c r="G688" s="0" t="n">
        <v>10</v>
      </c>
      <c r="H688" s="0" t="str">
        <f aca="false">IF(F688&lt;G688,"SI","NO")</f>
        <v>NO</v>
      </c>
    </row>
    <row r="689" customFormat="false" ht="15" hidden="false" customHeight="false" outlineLevel="0" collapsed="false">
      <c r="A689" s="0" t="s">
        <v>1881</v>
      </c>
      <c r="B689" s="0" t="s">
        <v>1882</v>
      </c>
      <c r="C689" s="0" t="s">
        <v>990</v>
      </c>
      <c r="D689" s="2" t="s">
        <v>19</v>
      </c>
      <c r="E689" s="0" t="str">
        <f aca="false">VLOOKUP(D689,Fornitori!$A$2:$C$6,2,FALSE())</f>
        <v>Elettrotecnica Ferri</v>
      </c>
      <c r="F689" s="0" t="n">
        <v>34</v>
      </c>
      <c r="G689" s="0" t="n">
        <v>20</v>
      </c>
      <c r="H689" s="0" t="str">
        <f aca="false">IF(F689&lt;G689,"SI","NO")</f>
        <v>NO</v>
      </c>
    </row>
    <row r="690" customFormat="false" ht="15" hidden="false" customHeight="false" outlineLevel="0" collapsed="false">
      <c r="A690" s="0" t="s">
        <v>1883</v>
      </c>
      <c r="B690" s="0" t="s">
        <v>1884</v>
      </c>
      <c r="C690" s="0" t="s">
        <v>1885</v>
      </c>
      <c r="D690" s="2" t="s">
        <v>23</v>
      </c>
      <c r="E690" s="0" t="str">
        <f aca="false">VLOOKUP(D690,Fornitori!$A$2:$C$6,2,FALSE())</f>
        <v>Pneumax Service</v>
      </c>
      <c r="F690" s="0" t="n">
        <v>45</v>
      </c>
      <c r="G690" s="0" t="n">
        <v>17</v>
      </c>
      <c r="H690" s="0" t="str">
        <f aca="false">IF(F690&lt;G690,"SI","NO")</f>
        <v>NO</v>
      </c>
    </row>
    <row r="691" customFormat="false" ht="15" hidden="false" customHeight="false" outlineLevel="0" collapsed="false">
      <c r="A691" s="0" t="s">
        <v>1886</v>
      </c>
      <c r="B691" s="0" t="s">
        <v>1887</v>
      </c>
      <c r="C691" s="0" t="s">
        <v>1888</v>
      </c>
      <c r="D691" s="2" t="s">
        <v>27</v>
      </c>
      <c r="E691" s="0" t="str">
        <f aca="false">VLOOKUP(D691,Fornitori!$A$2:$C$6,2,FALSE())</f>
        <v>Guarnizioni Alpi</v>
      </c>
      <c r="F691" s="0" t="n">
        <v>49</v>
      </c>
      <c r="G691" s="0" t="n">
        <v>5</v>
      </c>
      <c r="H691" s="0" t="str">
        <f aca="false">IF(F691&lt;G691,"SI","NO")</f>
        <v>NO</v>
      </c>
    </row>
    <row r="692" customFormat="false" ht="15" hidden="false" customHeight="false" outlineLevel="0" collapsed="false">
      <c r="A692" s="0" t="s">
        <v>1889</v>
      </c>
      <c r="B692" s="0" t="s">
        <v>1890</v>
      </c>
      <c r="C692" s="0" t="s">
        <v>824</v>
      </c>
      <c r="D692" s="2" t="s">
        <v>11</v>
      </c>
      <c r="E692" s="0" t="str">
        <f aca="false">VLOOKUP(D692,Fornitori!$A$2:$C$6,2,FALSE())</f>
        <v>Meccanica Bassi S.r.l.</v>
      </c>
      <c r="F692" s="0" t="n">
        <v>23</v>
      </c>
      <c r="G692" s="0" t="n">
        <v>13</v>
      </c>
      <c r="H692" s="0" t="str">
        <f aca="false">IF(F692&lt;G692,"SI","NO")</f>
        <v>NO</v>
      </c>
    </row>
    <row r="693" customFormat="false" ht="15" hidden="false" customHeight="false" outlineLevel="0" collapsed="false">
      <c r="A693" s="0" t="s">
        <v>1891</v>
      </c>
      <c r="B693" s="0" t="s">
        <v>1892</v>
      </c>
      <c r="C693" s="0" t="s">
        <v>1893</v>
      </c>
      <c r="D693" s="2" t="s">
        <v>15</v>
      </c>
      <c r="E693" s="0" t="str">
        <f aca="false">VLOOKUP(D693,Fornitori!$A$2:$C$6,2,FALSE())</f>
        <v>Rulmeca Italia</v>
      </c>
      <c r="F693" s="0" t="n">
        <v>53</v>
      </c>
      <c r="G693" s="0" t="n">
        <v>18</v>
      </c>
      <c r="H693" s="0" t="str">
        <f aca="false">IF(F693&lt;G693,"SI","NO")</f>
        <v>NO</v>
      </c>
    </row>
    <row r="694" customFormat="false" ht="15" hidden="false" customHeight="false" outlineLevel="0" collapsed="false">
      <c r="A694" s="0" t="s">
        <v>1894</v>
      </c>
      <c r="B694" s="0" t="s">
        <v>1895</v>
      </c>
      <c r="C694" s="0" t="s">
        <v>1732</v>
      </c>
      <c r="D694" s="2" t="s">
        <v>19</v>
      </c>
      <c r="E694" s="0" t="str">
        <f aca="false">VLOOKUP(D694,Fornitori!$A$2:$C$6,2,FALSE())</f>
        <v>Elettrotecnica Ferri</v>
      </c>
      <c r="F694" s="0" t="n">
        <v>46</v>
      </c>
      <c r="G694" s="0" t="n">
        <v>8</v>
      </c>
      <c r="H694" s="0" t="str">
        <f aca="false">IF(F694&lt;G694,"SI","NO")</f>
        <v>NO</v>
      </c>
    </row>
    <row r="695" customFormat="false" ht="15" hidden="false" customHeight="false" outlineLevel="0" collapsed="false">
      <c r="A695" s="0" t="s">
        <v>1896</v>
      </c>
      <c r="B695" s="0" t="s">
        <v>1897</v>
      </c>
      <c r="C695" s="0" t="s">
        <v>1874</v>
      </c>
      <c r="D695" s="2" t="s">
        <v>23</v>
      </c>
      <c r="E695" s="0" t="str">
        <f aca="false">VLOOKUP(D695,Fornitori!$A$2:$C$6,2,FALSE())</f>
        <v>Pneumax Service</v>
      </c>
      <c r="F695" s="0" t="n">
        <v>31</v>
      </c>
      <c r="G695" s="0" t="n">
        <v>15</v>
      </c>
      <c r="H695" s="0" t="str">
        <f aca="false">IF(F695&lt;G695,"SI","NO")</f>
        <v>NO</v>
      </c>
    </row>
    <row r="696" customFormat="false" ht="15" hidden="false" customHeight="false" outlineLevel="0" collapsed="false">
      <c r="A696" s="0" t="s">
        <v>1898</v>
      </c>
      <c r="B696" s="0" t="s">
        <v>886</v>
      </c>
      <c r="C696" s="0" t="s">
        <v>1899</v>
      </c>
      <c r="D696" s="2" t="s">
        <v>27</v>
      </c>
      <c r="E696" s="0" t="str">
        <f aca="false">VLOOKUP(D696,Fornitori!$A$2:$C$6,2,FALSE())</f>
        <v>Guarnizioni Alpi</v>
      </c>
      <c r="F696" s="0" t="n">
        <v>33</v>
      </c>
      <c r="G696" s="0" t="n">
        <v>18</v>
      </c>
      <c r="H696" s="0" t="str">
        <f aca="false">IF(F696&lt;G696,"SI","NO")</f>
        <v>NO</v>
      </c>
    </row>
    <row r="697" customFormat="false" ht="15" hidden="false" customHeight="false" outlineLevel="0" collapsed="false">
      <c r="A697" s="0" t="s">
        <v>1900</v>
      </c>
      <c r="B697" s="0" t="s">
        <v>1901</v>
      </c>
      <c r="C697" s="0" t="s">
        <v>1902</v>
      </c>
      <c r="D697" s="2" t="s">
        <v>11</v>
      </c>
      <c r="E697" s="0" t="str">
        <f aca="false">VLOOKUP(D697,Fornitori!$A$2:$C$6,2,FALSE())</f>
        <v>Meccanica Bassi S.r.l.</v>
      </c>
      <c r="F697" s="0" t="n">
        <v>4</v>
      </c>
      <c r="G697" s="0" t="n">
        <v>18</v>
      </c>
      <c r="H697" s="0" t="str">
        <f aca="false">IF(F697&lt;G697,"SI","NO")</f>
        <v>SI</v>
      </c>
    </row>
    <row r="698" customFormat="false" ht="15" hidden="false" customHeight="false" outlineLevel="0" collapsed="false">
      <c r="A698" s="0" t="s">
        <v>1903</v>
      </c>
      <c r="B698" s="0" t="s">
        <v>1904</v>
      </c>
      <c r="C698" s="0" t="s">
        <v>1905</v>
      </c>
      <c r="D698" s="2" t="s">
        <v>15</v>
      </c>
      <c r="E698" s="0" t="str">
        <f aca="false">VLOOKUP(D698,Fornitori!$A$2:$C$6,2,FALSE())</f>
        <v>Rulmeca Italia</v>
      </c>
      <c r="F698" s="0" t="n">
        <v>15</v>
      </c>
      <c r="G698" s="0" t="n">
        <v>23</v>
      </c>
      <c r="H698" s="0" t="str">
        <f aca="false">IF(F698&lt;G698,"SI","NO")</f>
        <v>SI</v>
      </c>
    </row>
    <row r="699" customFormat="false" ht="15" hidden="false" customHeight="false" outlineLevel="0" collapsed="false">
      <c r="A699" s="0" t="s">
        <v>1906</v>
      </c>
      <c r="B699" s="0" t="s">
        <v>1907</v>
      </c>
      <c r="C699" s="0" t="s">
        <v>1908</v>
      </c>
      <c r="D699" s="2" t="s">
        <v>19</v>
      </c>
      <c r="E699" s="0" t="str">
        <f aca="false">VLOOKUP(D699,Fornitori!$A$2:$C$6,2,FALSE())</f>
        <v>Elettrotecnica Ferri</v>
      </c>
      <c r="F699" s="0" t="n">
        <v>17</v>
      </c>
      <c r="G699" s="0" t="n">
        <v>9</v>
      </c>
      <c r="H699" s="0" t="str">
        <f aca="false">IF(F699&lt;G699,"SI","NO")</f>
        <v>NO</v>
      </c>
    </row>
    <row r="700" customFormat="false" ht="15" hidden="false" customHeight="false" outlineLevel="0" collapsed="false">
      <c r="A700" s="0" t="s">
        <v>1909</v>
      </c>
      <c r="B700" s="0" t="s">
        <v>1910</v>
      </c>
      <c r="C700" s="0" t="s">
        <v>1414</v>
      </c>
      <c r="D700" s="2" t="s">
        <v>23</v>
      </c>
      <c r="E700" s="0" t="str">
        <f aca="false">VLOOKUP(D700,Fornitori!$A$2:$C$6,2,FALSE())</f>
        <v>Pneumax Service</v>
      </c>
      <c r="F700" s="0" t="n">
        <v>57</v>
      </c>
      <c r="G700" s="0" t="n">
        <v>14</v>
      </c>
      <c r="H700" s="0" t="str">
        <f aca="false">IF(F700&lt;G700,"SI","NO")</f>
        <v>NO</v>
      </c>
    </row>
    <row r="701" customFormat="false" ht="15" hidden="false" customHeight="false" outlineLevel="0" collapsed="false">
      <c r="A701" s="0" t="s">
        <v>1911</v>
      </c>
      <c r="B701" s="0" t="s">
        <v>1912</v>
      </c>
      <c r="C701" s="0" t="s">
        <v>1913</v>
      </c>
      <c r="D701" s="2" t="s">
        <v>27</v>
      </c>
      <c r="E701" s="0" t="str">
        <f aca="false">VLOOKUP(D701,Fornitori!$A$2:$C$6,2,FALSE())</f>
        <v>Guarnizioni Alpi</v>
      </c>
      <c r="F701" s="0" t="n">
        <v>41</v>
      </c>
      <c r="G701" s="0" t="n">
        <v>17</v>
      </c>
      <c r="H701" s="0" t="str">
        <f aca="false">IF(F701&lt;G701,"SI","NO")</f>
        <v>NO</v>
      </c>
    </row>
    <row r="702" customFormat="false" ht="15" hidden="false" customHeight="false" outlineLevel="0" collapsed="false">
      <c r="A702" s="0" t="s">
        <v>1914</v>
      </c>
      <c r="B702" s="0" t="s">
        <v>1915</v>
      </c>
      <c r="C702" s="0" t="s">
        <v>499</v>
      </c>
      <c r="D702" s="2" t="s">
        <v>11</v>
      </c>
      <c r="E702" s="0" t="str">
        <f aca="false">VLOOKUP(D702,Fornitori!$A$2:$C$6,2,FALSE())</f>
        <v>Meccanica Bassi S.r.l.</v>
      </c>
      <c r="F702" s="0" t="n">
        <v>57</v>
      </c>
      <c r="G702" s="0" t="n">
        <v>12</v>
      </c>
      <c r="H702" s="0" t="str">
        <f aca="false">IF(F702&lt;G702,"SI","NO")</f>
        <v>NO</v>
      </c>
    </row>
    <row r="703" customFormat="false" ht="15" hidden="false" customHeight="false" outlineLevel="0" collapsed="false">
      <c r="A703" s="0" t="s">
        <v>1916</v>
      </c>
      <c r="B703" s="0" t="s">
        <v>1917</v>
      </c>
      <c r="C703" s="0" t="s">
        <v>821</v>
      </c>
      <c r="D703" s="2" t="s">
        <v>15</v>
      </c>
      <c r="E703" s="0" t="str">
        <f aca="false">VLOOKUP(D703,Fornitori!$A$2:$C$6,2,FALSE())</f>
        <v>Rulmeca Italia</v>
      </c>
      <c r="F703" s="0" t="n">
        <v>56</v>
      </c>
      <c r="G703" s="0" t="n">
        <v>7</v>
      </c>
      <c r="H703" s="0" t="str">
        <f aca="false">IF(F703&lt;G703,"SI","NO")</f>
        <v>NO</v>
      </c>
    </row>
    <row r="704" customFormat="false" ht="15" hidden="false" customHeight="false" outlineLevel="0" collapsed="false">
      <c r="A704" s="0" t="s">
        <v>1918</v>
      </c>
      <c r="B704" s="0" t="s">
        <v>1919</v>
      </c>
      <c r="C704" s="0" t="s">
        <v>1606</v>
      </c>
      <c r="D704" s="2" t="s">
        <v>19</v>
      </c>
      <c r="E704" s="0" t="str">
        <f aca="false">VLOOKUP(D704,Fornitori!$A$2:$C$6,2,FALSE())</f>
        <v>Elettrotecnica Ferri</v>
      </c>
      <c r="F704" s="0" t="n">
        <v>20</v>
      </c>
      <c r="G704" s="0" t="n">
        <v>11</v>
      </c>
      <c r="H704" s="0" t="str">
        <f aca="false">IF(F704&lt;G704,"SI","NO")</f>
        <v>NO</v>
      </c>
    </row>
    <row r="705" customFormat="false" ht="15" hidden="false" customHeight="false" outlineLevel="0" collapsed="false">
      <c r="A705" s="0" t="s">
        <v>1920</v>
      </c>
      <c r="B705" s="0" t="s">
        <v>1921</v>
      </c>
      <c r="C705" s="0" t="s">
        <v>1742</v>
      </c>
      <c r="D705" s="2" t="s">
        <v>23</v>
      </c>
      <c r="E705" s="0" t="str">
        <f aca="false">VLOOKUP(D705,Fornitori!$A$2:$C$6,2,FALSE())</f>
        <v>Pneumax Service</v>
      </c>
      <c r="F705" s="0" t="n">
        <v>32</v>
      </c>
      <c r="G705" s="0" t="n">
        <v>6</v>
      </c>
      <c r="H705" s="0" t="str">
        <f aca="false">IF(F705&lt;G705,"SI","NO")</f>
        <v>NO</v>
      </c>
    </row>
    <row r="706" customFormat="false" ht="15" hidden="false" customHeight="false" outlineLevel="0" collapsed="false">
      <c r="A706" s="0" t="s">
        <v>1922</v>
      </c>
      <c r="B706" s="0" t="s">
        <v>721</v>
      </c>
      <c r="C706" s="0" t="s">
        <v>403</v>
      </c>
      <c r="D706" s="2" t="s">
        <v>27</v>
      </c>
      <c r="E706" s="0" t="str">
        <f aca="false">VLOOKUP(D706,Fornitori!$A$2:$C$6,2,FALSE())</f>
        <v>Guarnizioni Alpi</v>
      </c>
      <c r="F706" s="0" t="n">
        <v>52</v>
      </c>
      <c r="G706" s="0" t="n">
        <v>19</v>
      </c>
      <c r="H706" s="0" t="str">
        <f aca="false">IF(F706&lt;G706,"SI","NO")</f>
        <v>NO</v>
      </c>
    </row>
    <row r="707" customFormat="false" ht="15" hidden="false" customHeight="false" outlineLevel="0" collapsed="false">
      <c r="A707" s="0" t="s">
        <v>1923</v>
      </c>
      <c r="B707" s="0" t="s">
        <v>1924</v>
      </c>
      <c r="C707" s="0" t="s">
        <v>1925</v>
      </c>
      <c r="D707" s="2" t="s">
        <v>11</v>
      </c>
      <c r="E707" s="0" t="str">
        <f aca="false">VLOOKUP(D707,Fornitori!$A$2:$C$6,2,FALSE())</f>
        <v>Meccanica Bassi S.r.l.</v>
      </c>
      <c r="F707" s="0" t="n">
        <v>59</v>
      </c>
      <c r="G707" s="0" t="n">
        <v>15</v>
      </c>
      <c r="H707" s="0" t="str">
        <f aca="false">IF(F707&lt;G707,"SI","NO")</f>
        <v>NO</v>
      </c>
    </row>
    <row r="708" customFormat="false" ht="15" hidden="false" customHeight="false" outlineLevel="0" collapsed="false">
      <c r="A708" s="0" t="s">
        <v>1926</v>
      </c>
      <c r="B708" s="0" t="s">
        <v>1927</v>
      </c>
      <c r="C708" s="0" t="s">
        <v>1928</v>
      </c>
      <c r="D708" s="2" t="s">
        <v>15</v>
      </c>
      <c r="E708" s="0" t="str">
        <f aca="false">VLOOKUP(D708,Fornitori!$A$2:$C$6,2,FALSE())</f>
        <v>Rulmeca Italia</v>
      </c>
      <c r="F708" s="0" t="n">
        <v>50</v>
      </c>
      <c r="G708" s="0" t="n">
        <v>11</v>
      </c>
      <c r="H708" s="0" t="str">
        <f aca="false">IF(F708&lt;G708,"SI","NO")</f>
        <v>NO</v>
      </c>
    </row>
    <row r="709" customFormat="false" ht="15" hidden="false" customHeight="false" outlineLevel="0" collapsed="false">
      <c r="A709" s="0" t="s">
        <v>1929</v>
      </c>
      <c r="B709" s="0" t="s">
        <v>1930</v>
      </c>
      <c r="C709" s="0" t="s">
        <v>1931</v>
      </c>
      <c r="D709" s="2" t="s">
        <v>19</v>
      </c>
      <c r="E709" s="0" t="str">
        <f aca="false">VLOOKUP(D709,Fornitori!$A$2:$C$6,2,FALSE())</f>
        <v>Elettrotecnica Ferri</v>
      </c>
      <c r="F709" s="0" t="n">
        <v>11</v>
      </c>
      <c r="G709" s="0" t="n">
        <v>5</v>
      </c>
      <c r="H709" s="0" t="str">
        <f aca="false">IF(F709&lt;G709,"SI","NO")</f>
        <v>NO</v>
      </c>
    </row>
    <row r="710" customFormat="false" ht="15" hidden="false" customHeight="false" outlineLevel="0" collapsed="false">
      <c r="A710" s="0" t="s">
        <v>1932</v>
      </c>
      <c r="B710" s="0" t="s">
        <v>704</v>
      </c>
      <c r="C710" s="0" t="s">
        <v>1933</v>
      </c>
      <c r="D710" s="2" t="s">
        <v>23</v>
      </c>
      <c r="E710" s="0" t="str">
        <f aca="false">VLOOKUP(D710,Fornitori!$A$2:$C$6,2,FALSE())</f>
        <v>Pneumax Service</v>
      </c>
      <c r="F710" s="0" t="n">
        <v>17</v>
      </c>
      <c r="G710" s="0" t="n">
        <v>7</v>
      </c>
      <c r="H710" s="0" t="str">
        <f aca="false">IF(F710&lt;G710,"SI","NO")</f>
        <v>NO</v>
      </c>
    </row>
    <row r="711" customFormat="false" ht="15" hidden="false" customHeight="false" outlineLevel="0" collapsed="false">
      <c r="A711" s="0" t="s">
        <v>1934</v>
      </c>
      <c r="B711" s="0" t="s">
        <v>873</v>
      </c>
      <c r="C711" s="0" t="s">
        <v>682</v>
      </c>
      <c r="D711" s="2" t="s">
        <v>27</v>
      </c>
      <c r="E711" s="0" t="str">
        <f aca="false">VLOOKUP(D711,Fornitori!$A$2:$C$6,2,FALSE())</f>
        <v>Guarnizioni Alpi</v>
      </c>
      <c r="F711" s="0" t="n">
        <v>26</v>
      </c>
      <c r="G711" s="0" t="n">
        <v>12</v>
      </c>
      <c r="H711" s="0" t="str">
        <f aca="false">IF(F711&lt;G711,"SI","NO")</f>
        <v>NO</v>
      </c>
    </row>
    <row r="712" customFormat="false" ht="15" hidden="false" customHeight="false" outlineLevel="0" collapsed="false">
      <c r="A712" s="0" t="s">
        <v>1935</v>
      </c>
      <c r="B712" s="0" t="s">
        <v>1936</v>
      </c>
      <c r="C712" s="0" t="s">
        <v>1937</v>
      </c>
      <c r="D712" s="2" t="s">
        <v>11</v>
      </c>
      <c r="E712" s="0" t="str">
        <f aca="false">VLOOKUP(D712,Fornitori!$A$2:$C$6,2,FALSE())</f>
        <v>Meccanica Bassi S.r.l.</v>
      </c>
      <c r="F712" s="0" t="n">
        <v>4</v>
      </c>
      <c r="G712" s="0" t="n">
        <v>20</v>
      </c>
      <c r="H712" s="0" t="str">
        <f aca="false">IF(F712&lt;G712,"SI","NO")</f>
        <v>SI</v>
      </c>
    </row>
    <row r="713" customFormat="false" ht="15" hidden="false" customHeight="false" outlineLevel="0" collapsed="false">
      <c r="A713" s="0" t="s">
        <v>1938</v>
      </c>
      <c r="B713" s="0" t="s">
        <v>766</v>
      </c>
      <c r="C713" s="0" t="s">
        <v>1939</v>
      </c>
      <c r="D713" s="2" t="s">
        <v>15</v>
      </c>
      <c r="E713" s="0" t="str">
        <f aca="false">VLOOKUP(D713,Fornitori!$A$2:$C$6,2,FALSE())</f>
        <v>Rulmeca Italia</v>
      </c>
      <c r="F713" s="0" t="n">
        <v>45</v>
      </c>
      <c r="G713" s="0" t="n">
        <v>24</v>
      </c>
      <c r="H713" s="0" t="str">
        <f aca="false">IF(F713&lt;G713,"SI","NO")</f>
        <v>NO</v>
      </c>
    </row>
    <row r="714" customFormat="false" ht="15" hidden="false" customHeight="false" outlineLevel="0" collapsed="false">
      <c r="A714" s="0" t="s">
        <v>1940</v>
      </c>
      <c r="B714" s="0" t="s">
        <v>1339</v>
      </c>
      <c r="C714" s="0" t="s">
        <v>1941</v>
      </c>
      <c r="D714" s="2" t="s">
        <v>19</v>
      </c>
      <c r="E714" s="0" t="str">
        <f aca="false">VLOOKUP(D714,Fornitori!$A$2:$C$6,2,FALSE())</f>
        <v>Elettrotecnica Ferri</v>
      </c>
      <c r="F714" s="0" t="n">
        <v>7</v>
      </c>
      <c r="G714" s="0" t="n">
        <v>17</v>
      </c>
      <c r="H714" s="0" t="str">
        <f aca="false">IF(F714&lt;G714,"SI","NO")</f>
        <v>SI</v>
      </c>
    </row>
    <row r="715" customFormat="false" ht="15" hidden="false" customHeight="false" outlineLevel="0" collapsed="false">
      <c r="A715" s="0" t="s">
        <v>1942</v>
      </c>
      <c r="B715" s="0" t="s">
        <v>1943</v>
      </c>
      <c r="C715" s="0" t="s">
        <v>1944</v>
      </c>
      <c r="D715" s="2" t="s">
        <v>23</v>
      </c>
      <c r="E715" s="0" t="str">
        <f aca="false">VLOOKUP(D715,Fornitori!$A$2:$C$6,2,FALSE())</f>
        <v>Pneumax Service</v>
      </c>
      <c r="F715" s="0" t="n">
        <v>57</v>
      </c>
      <c r="G715" s="0" t="n">
        <v>21</v>
      </c>
      <c r="H715" s="0" t="str">
        <f aca="false">IF(F715&lt;G715,"SI","NO")</f>
        <v>NO</v>
      </c>
    </row>
    <row r="716" customFormat="false" ht="15" hidden="false" customHeight="false" outlineLevel="0" collapsed="false">
      <c r="A716" s="0" t="s">
        <v>1945</v>
      </c>
      <c r="B716" s="0" t="s">
        <v>1946</v>
      </c>
      <c r="C716" s="0" t="s">
        <v>245</v>
      </c>
      <c r="D716" s="2" t="s">
        <v>27</v>
      </c>
      <c r="E716" s="0" t="str">
        <f aca="false">VLOOKUP(D716,Fornitori!$A$2:$C$6,2,FALSE())</f>
        <v>Guarnizioni Alpi</v>
      </c>
      <c r="F716" s="0" t="n">
        <v>12</v>
      </c>
      <c r="G716" s="0" t="n">
        <v>13</v>
      </c>
      <c r="H716" s="0" t="str">
        <f aca="false">IF(F716&lt;G716,"SI","NO")</f>
        <v>SI</v>
      </c>
    </row>
    <row r="717" customFormat="false" ht="15" hidden="false" customHeight="false" outlineLevel="0" collapsed="false">
      <c r="A717" s="0" t="s">
        <v>1947</v>
      </c>
      <c r="B717" s="0" t="s">
        <v>1948</v>
      </c>
      <c r="C717" s="0" t="s">
        <v>1949</v>
      </c>
      <c r="D717" s="2" t="s">
        <v>11</v>
      </c>
      <c r="E717" s="0" t="str">
        <f aca="false">VLOOKUP(D717,Fornitori!$A$2:$C$6,2,FALSE())</f>
        <v>Meccanica Bassi S.r.l.</v>
      </c>
      <c r="F717" s="0" t="n">
        <v>1</v>
      </c>
      <c r="G717" s="0" t="n">
        <v>24</v>
      </c>
      <c r="H717" s="0" t="str">
        <f aca="false">IF(F717&lt;G717,"SI","NO")</f>
        <v>SI</v>
      </c>
    </row>
    <row r="718" customFormat="false" ht="15" hidden="false" customHeight="false" outlineLevel="0" collapsed="false">
      <c r="A718" s="0" t="s">
        <v>1950</v>
      </c>
      <c r="B718" s="0" t="s">
        <v>1951</v>
      </c>
      <c r="C718" s="0" t="s">
        <v>1235</v>
      </c>
      <c r="D718" s="2" t="s">
        <v>15</v>
      </c>
      <c r="E718" s="0" t="str">
        <f aca="false">VLOOKUP(D718,Fornitori!$A$2:$C$6,2,FALSE())</f>
        <v>Rulmeca Italia</v>
      </c>
      <c r="F718" s="0" t="n">
        <v>0</v>
      </c>
      <c r="G718" s="0" t="n">
        <v>22</v>
      </c>
      <c r="H718" s="0" t="str">
        <f aca="false">IF(F718&lt;G718,"SI","NO")</f>
        <v>SI</v>
      </c>
    </row>
    <row r="719" customFormat="false" ht="15" hidden="false" customHeight="false" outlineLevel="0" collapsed="false">
      <c r="A719" s="0" t="s">
        <v>1952</v>
      </c>
      <c r="B719" s="0" t="s">
        <v>1687</v>
      </c>
      <c r="C719" s="0" t="s">
        <v>1953</v>
      </c>
      <c r="D719" s="2" t="s">
        <v>19</v>
      </c>
      <c r="E719" s="0" t="str">
        <f aca="false">VLOOKUP(D719,Fornitori!$A$2:$C$6,2,FALSE())</f>
        <v>Elettrotecnica Ferri</v>
      </c>
      <c r="F719" s="0" t="n">
        <v>36</v>
      </c>
      <c r="G719" s="0" t="n">
        <v>15</v>
      </c>
      <c r="H719" s="0" t="str">
        <f aca="false">IF(F719&lt;G719,"SI","NO")</f>
        <v>NO</v>
      </c>
    </row>
    <row r="720" customFormat="false" ht="15" hidden="false" customHeight="false" outlineLevel="0" collapsed="false">
      <c r="A720" s="0" t="s">
        <v>1954</v>
      </c>
      <c r="B720" s="0" t="s">
        <v>1955</v>
      </c>
      <c r="C720" s="0" t="s">
        <v>1956</v>
      </c>
      <c r="D720" s="2" t="s">
        <v>23</v>
      </c>
      <c r="E720" s="0" t="str">
        <f aca="false">VLOOKUP(D720,Fornitori!$A$2:$C$6,2,FALSE())</f>
        <v>Pneumax Service</v>
      </c>
      <c r="F720" s="0" t="n">
        <v>11</v>
      </c>
      <c r="G720" s="0" t="n">
        <v>16</v>
      </c>
      <c r="H720" s="0" t="str">
        <f aca="false">IF(F720&lt;G720,"SI","NO")</f>
        <v>SI</v>
      </c>
    </row>
    <row r="721" customFormat="false" ht="15" hidden="false" customHeight="false" outlineLevel="0" collapsed="false">
      <c r="A721" s="0" t="s">
        <v>1957</v>
      </c>
      <c r="B721" s="0" t="s">
        <v>1958</v>
      </c>
      <c r="C721" s="0" t="s">
        <v>1851</v>
      </c>
      <c r="D721" s="2" t="s">
        <v>27</v>
      </c>
      <c r="E721" s="0" t="str">
        <f aca="false">VLOOKUP(D721,Fornitori!$A$2:$C$6,2,FALSE())</f>
        <v>Guarnizioni Alpi</v>
      </c>
      <c r="F721" s="0" t="n">
        <v>6</v>
      </c>
      <c r="G721" s="0" t="n">
        <v>9</v>
      </c>
      <c r="H721" s="0" t="str">
        <f aca="false">IF(F721&lt;G721,"SI","NO")</f>
        <v>SI</v>
      </c>
    </row>
    <row r="722" customFormat="false" ht="15" hidden="false" customHeight="false" outlineLevel="0" collapsed="false">
      <c r="A722" s="0" t="s">
        <v>1959</v>
      </c>
      <c r="B722" s="0" t="s">
        <v>1960</v>
      </c>
      <c r="C722" s="0" t="s">
        <v>1851</v>
      </c>
      <c r="D722" s="2" t="s">
        <v>11</v>
      </c>
      <c r="E722" s="0" t="str">
        <f aca="false">VLOOKUP(D722,Fornitori!$A$2:$C$6,2,FALSE())</f>
        <v>Meccanica Bassi S.r.l.</v>
      </c>
      <c r="F722" s="0" t="n">
        <v>50</v>
      </c>
      <c r="G722" s="0" t="n">
        <v>15</v>
      </c>
      <c r="H722" s="0" t="str">
        <f aca="false">IF(F722&lt;G722,"SI","NO")</f>
        <v>NO</v>
      </c>
    </row>
    <row r="723" customFormat="false" ht="15" hidden="false" customHeight="false" outlineLevel="0" collapsed="false">
      <c r="A723" s="0" t="s">
        <v>1961</v>
      </c>
      <c r="B723" s="0" t="s">
        <v>1962</v>
      </c>
      <c r="C723" s="0" t="s">
        <v>1963</v>
      </c>
      <c r="D723" s="2" t="s">
        <v>15</v>
      </c>
      <c r="E723" s="0" t="str">
        <f aca="false">VLOOKUP(D723,Fornitori!$A$2:$C$6,2,FALSE())</f>
        <v>Rulmeca Italia</v>
      </c>
      <c r="F723" s="0" t="n">
        <v>16</v>
      </c>
      <c r="G723" s="0" t="n">
        <v>21</v>
      </c>
      <c r="H723" s="0" t="str">
        <f aca="false">IF(F723&lt;G723,"SI","NO")</f>
        <v>SI</v>
      </c>
    </row>
    <row r="724" customFormat="false" ht="15" hidden="false" customHeight="false" outlineLevel="0" collapsed="false">
      <c r="A724" s="0" t="s">
        <v>1964</v>
      </c>
      <c r="B724" s="0" t="s">
        <v>1965</v>
      </c>
      <c r="C724" s="0" t="s">
        <v>1966</v>
      </c>
      <c r="D724" s="2" t="s">
        <v>19</v>
      </c>
      <c r="E724" s="0" t="str">
        <f aca="false">VLOOKUP(D724,Fornitori!$A$2:$C$6,2,FALSE())</f>
        <v>Elettrotecnica Ferri</v>
      </c>
      <c r="F724" s="0" t="n">
        <v>1</v>
      </c>
      <c r="G724" s="0" t="n">
        <v>11</v>
      </c>
      <c r="H724" s="0" t="str">
        <f aca="false">IF(F724&lt;G724,"SI","NO")</f>
        <v>SI</v>
      </c>
    </row>
    <row r="725" customFormat="false" ht="15" hidden="false" customHeight="false" outlineLevel="0" collapsed="false">
      <c r="A725" s="0" t="s">
        <v>1967</v>
      </c>
      <c r="B725" s="0" t="s">
        <v>1968</v>
      </c>
      <c r="C725" s="0" t="s">
        <v>1294</v>
      </c>
      <c r="D725" s="2" t="s">
        <v>23</v>
      </c>
      <c r="E725" s="0" t="str">
        <f aca="false">VLOOKUP(D725,Fornitori!$A$2:$C$6,2,FALSE())</f>
        <v>Pneumax Service</v>
      </c>
      <c r="F725" s="0" t="n">
        <v>24</v>
      </c>
      <c r="G725" s="0" t="n">
        <v>10</v>
      </c>
      <c r="H725" s="0" t="str">
        <f aca="false">IF(F725&lt;G725,"SI","NO")</f>
        <v>NO</v>
      </c>
    </row>
    <row r="726" customFormat="false" ht="15" hidden="false" customHeight="false" outlineLevel="0" collapsed="false">
      <c r="A726" s="0" t="s">
        <v>1969</v>
      </c>
      <c r="B726" s="0" t="s">
        <v>1582</v>
      </c>
      <c r="C726" s="0" t="s">
        <v>1970</v>
      </c>
      <c r="D726" s="2" t="s">
        <v>27</v>
      </c>
      <c r="E726" s="0" t="str">
        <f aca="false">VLOOKUP(D726,Fornitori!$A$2:$C$6,2,FALSE())</f>
        <v>Guarnizioni Alpi</v>
      </c>
      <c r="F726" s="0" t="n">
        <v>13</v>
      </c>
      <c r="G726" s="0" t="n">
        <v>23</v>
      </c>
      <c r="H726" s="0" t="str">
        <f aca="false">IF(F726&lt;G726,"SI","NO")</f>
        <v>SI</v>
      </c>
    </row>
    <row r="727" customFormat="false" ht="15" hidden="false" customHeight="false" outlineLevel="0" collapsed="false">
      <c r="A727" s="0" t="s">
        <v>1971</v>
      </c>
      <c r="B727" s="0" t="s">
        <v>1972</v>
      </c>
      <c r="C727" s="0" t="s">
        <v>176</v>
      </c>
      <c r="D727" s="2" t="s">
        <v>11</v>
      </c>
      <c r="E727" s="0" t="str">
        <f aca="false">VLOOKUP(D727,Fornitori!$A$2:$C$6,2,FALSE())</f>
        <v>Meccanica Bassi S.r.l.</v>
      </c>
      <c r="F727" s="0" t="n">
        <v>49</v>
      </c>
      <c r="G727" s="0" t="n">
        <v>6</v>
      </c>
      <c r="H727" s="0" t="str">
        <f aca="false">IF(F727&lt;G727,"SI","NO")</f>
        <v>NO</v>
      </c>
    </row>
    <row r="728" customFormat="false" ht="15" hidden="false" customHeight="false" outlineLevel="0" collapsed="false">
      <c r="A728" s="0" t="s">
        <v>1973</v>
      </c>
      <c r="B728" s="0" t="s">
        <v>1974</v>
      </c>
      <c r="C728" s="0" t="s">
        <v>1443</v>
      </c>
      <c r="D728" s="2" t="s">
        <v>15</v>
      </c>
      <c r="E728" s="0" t="str">
        <f aca="false">VLOOKUP(D728,Fornitori!$A$2:$C$6,2,FALSE())</f>
        <v>Rulmeca Italia</v>
      </c>
      <c r="F728" s="0" t="n">
        <v>39</v>
      </c>
      <c r="G728" s="0" t="n">
        <v>22</v>
      </c>
      <c r="H728" s="0" t="str">
        <f aca="false">IF(F728&lt;G728,"SI","NO")</f>
        <v>NO</v>
      </c>
    </row>
    <row r="729" customFormat="false" ht="15" hidden="false" customHeight="false" outlineLevel="0" collapsed="false">
      <c r="A729" s="0" t="s">
        <v>1975</v>
      </c>
      <c r="B729" s="0" t="s">
        <v>1976</v>
      </c>
      <c r="C729" s="0" t="s">
        <v>1069</v>
      </c>
      <c r="D729" s="2" t="s">
        <v>19</v>
      </c>
      <c r="E729" s="0" t="str">
        <f aca="false">VLOOKUP(D729,Fornitori!$A$2:$C$6,2,FALSE())</f>
        <v>Elettrotecnica Ferri</v>
      </c>
      <c r="F729" s="0" t="n">
        <v>13</v>
      </c>
      <c r="G729" s="0" t="n">
        <v>16</v>
      </c>
      <c r="H729" s="0" t="str">
        <f aca="false">IF(F729&lt;G729,"SI","NO")</f>
        <v>SI</v>
      </c>
    </row>
    <row r="730" customFormat="false" ht="15" hidden="false" customHeight="false" outlineLevel="0" collapsed="false">
      <c r="A730" s="0" t="s">
        <v>1977</v>
      </c>
      <c r="B730" s="0" t="s">
        <v>1978</v>
      </c>
      <c r="C730" s="0" t="s">
        <v>1979</v>
      </c>
      <c r="D730" s="2" t="s">
        <v>23</v>
      </c>
      <c r="E730" s="0" t="str">
        <f aca="false">VLOOKUP(D730,Fornitori!$A$2:$C$6,2,FALSE())</f>
        <v>Pneumax Service</v>
      </c>
      <c r="F730" s="0" t="n">
        <v>8</v>
      </c>
      <c r="G730" s="0" t="n">
        <v>11</v>
      </c>
      <c r="H730" s="0" t="str">
        <f aca="false">IF(F730&lt;G730,"SI","NO")</f>
        <v>SI</v>
      </c>
    </row>
    <row r="731" customFormat="false" ht="15" hidden="false" customHeight="false" outlineLevel="0" collapsed="false">
      <c r="A731" s="0" t="s">
        <v>1980</v>
      </c>
      <c r="B731" s="0" t="s">
        <v>1981</v>
      </c>
      <c r="C731" s="0" t="s">
        <v>1982</v>
      </c>
      <c r="D731" s="2" t="s">
        <v>27</v>
      </c>
      <c r="E731" s="0" t="str">
        <f aca="false">VLOOKUP(D731,Fornitori!$A$2:$C$6,2,FALSE())</f>
        <v>Guarnizioni Alpi</v>
      </c>
      <c r="F731" s="0" t="n">
        <v>46</v>
      </c>
      <c r="G731" s="0" t="n">
        <v>6</v>
      </c>
      <c r="H731" s="0" t="str">
        <f aca="false">IF(F731&lt;G731,"SI","NO")</f>
        <v>NO</v>
      </c>
    </row>
    <row r="732" customFormat="false" ht="15" hidden="false" customHeight="false" outlineLevel="0" collapsed="false">
      <c r="A732" s="0" t="s">
        <v>1983</v>
      </c>
      <c r="B732" s="0" t="s">
        <v>1984</v>
      </c>
      <c r="C732" s="0" t="s">
        <v>1985</v>
      </c>
      <c r="D732" s="2" t="s">
        <v>11</v>
      </c>
      <c r="E732" s="0" t="str">
        <f aca="false">VLOOKUP(D732,Fornitori!$A$2:$C$6,2,FALSE())</f>
        <v>Meccanica Bassi S.r.l.</v>
      </c>
      <c r="F732" s="0" t="n">
        <v>55</v>
      </c>
      <c r="G732" s="0" t="n">
        <v>12</v>
      </c>
      <c r="H732" s="0" t="str">
        <f aca="false">IF(F732&lt;G732,"SI","NO")</f>
        <v>NO</v>
      </c>
    </row>
    <row r="733" customFormat="false" ht="15" hidden="false" customHeight="false" outlineLevel="0" collapsed="false">
      <c r="A733" s="0" t="s">
        <v>1986</v>
      </c>
      <c r="B733" s="0" t="s">
        <v>1987</v>
      </c>
      <c r="C733" s="0" t="s">
        <v>1988</v>
      </c>
      <c r="D733" s="2" t="s">
        <v>15</v>
      </c>
      <c r="E733" s="0" t="str">
        <f aca="false">VLOOKUP(D733,Fornitori!$A$2:$C$6,2,FALSE())</f>
        <v>Rulmeca Italia</v>
      </c>
      <c r="F733" s="0" t="n">
        <v>7</v>
      </c>
      <c r="G733" s="0" t="n">
        <v>20</v>
      </c>
      <c r="H733" s="0" t="str">
        <f aca="false">IF(F733&lt;G733,"SI","NO")</f>
        <v>SI</v>
      </c>
    </row>
    <row r="734" customFormat="false" ht="15" hidden="false" customHeight="false" outlineLevel="0" collapsed="false">
      <c r="A734" s="0" t="s">
        <v>1989</v>
      </c>
      <c r="B734" s="0" t="s">
        <v>1990</v>
      </c>
      <c r="C734" s="0" t="s">
        <v>152</v>
      </c>
      <c r="D734" s="2" t="s">
        <v>19</v>
      </c>
      <c r="E734" s="0" t="str">
        <f aca="false">VLOOKUP(D734,Fornitori!$A$2:$C$6,2,FALSE())</f>
        <v>Elettrotecnica Ferri</v>
      </c>
      <c r="F734" s="0" t="n">
        <v>25</v>
      </c>
      <c r="G734" s="0" t="n">
        <v>23</v>
      </c>
      <c r="H734" s="0" t="str">
        <f aca="false">IF(F734&lt;G734,"SI","NO")</f>
        <v>NO</v>
      </c>
    </row>
    <row r="735" customFormat="false" ht="15" hidden="false" customHeight="false" outlineLevel="0" collapsed="false">
      <c r="A735" s="0" t="s">
        <v>1991</v>
      </c>
      <c r="B735" s="0" t="s">
        <v>606</v>
      </c>
      <c r="C735" s="0" t="s">
        <v>1992</v>
      </c>
      <c r="D735" s="2" t="s">
        <v>23</v>
      </c>
      <c r="E735" s="0" t="str">
        <f aca="false">VLOOKUP(D735,Fornitori!$A$2:$C$6,2,FALSE())</f>
        <v>Pneumax Service</v>
      </c>
      <c r="F735" s="0" t="n">
        <v>58</v>
      </c>
      <c r="G735" s="0" t="n">
        <v>11</v>
      </c>
      <c r="H735" s="0" t="str">
        <f aca="false">IF(F735&lt;G735,"SI","NO")</f>
        <v>NO</v>
      </c>
    </row>
    <row r="736" customFormat="false" ht="15" hidden="false" customHeight="false" outlineLevel="0" collapsed="false">
      <c r="A736" s="0" t="s">
        <v>1993</v>
      </c>
      <c r="B736" s="0" t="s">
        <v>1424</v>
      </c>
      <c r="C736" s="0" t="s">
        <v>1005</v>
      </c>
      <c r="D736" s="2" t="s">
        <v>27</v>
      </c>
      <c r="E736" s="0" t="str">
        <f aca="false">VLOOKUP(D736,Fornitori!$A$2:$C$6,2,FALSE())</f>
        <v>Guarnizioni Alpi</v>
      </c>
      <c r="F736" s="0" t="n">
        <v>15</v>
      </c>
      <c r="G736" s="0" t="n">
        <v>12</v>
      </c>
      <c r="H736" s="0" t="str">
        <f aca="false">IF(F736&lt;G736,"SI","NO")</f>
        <v>NO</v>
      </c>
    </row>
    <row r="737" customFormat="false" ht="15" hidden="false" customHeight="false" outlineLevel="0" collapsed="false">
      <c r="A737" s="0" t="s">
        <v>1994</v>
      </c>
      <c r="B737" s="0" t="s">
        <v>1995</v>
      </c>
      <c r="C737" s="0" t="s">
        <v>1469</v>
      </c>
      <c r="D737" s="2" t="s">
        <v>11</v>
      </c>
      <c r="E737" s="0" t="str">
        <f aca="false">VLOOKUP(D737,Fornitori!$A$2:$C$6,2,FALSE())</f>
        <v>Meccanica Bassi S.r.l.</v>
      </c>
      <c r="F737" s="0" t="n">
        <v>9</v>
      </c>
      <c r="G737" s="0" t="n">
        <v>19</v>
      </c>
      <c r="H737" s="0" t="str">
        <f aca="false">IF(F737&lt;G737,"SI","NO")</f>
        <v>SI</v>
      </c>
    </row>
    <row r="738" customFormat="false" ht="15" hidden="false" customHeight="false" outlineLevel="0" collapsed="false">
      <c r="A738" s="0" t="s">
        <v>1996</v>
      </c>
      <c r="B738" s="0" t="s">
        <v>1997</v>
      </c>
      <c r="C738" s="0" t="s">
        <v>1998</v>
      </c>
      <c r="D738" s="2" t="s">
        <v>15</v>
      </c>
      <c r="E738" s="0" t="str">
        <f aca="false">VLOOKUP(D738,Fornitori!$A$2:$C$6,2,FALSE())</f>
        <v>Rulmeca Italia</v>
      </c>
      <c r="F738" s="0" t="n">
        <v>11</v>
      </c>
      <c r="G738" s="0" t="n">
        <v>9</v>
      </c>
      <c r="H738" s="0" t="str">
        <f aca="false">IF(F738&lt;G738,"SI","NO")</f>
        <v>NO</v>
      </c>
    </row>
    <row r="739" customFormat="false" ht="15" hidden="false" customHeight="false" outlineLevel="0" collapsed="false">
      <c r="A739" s="0" t="s">
        <v>1999</v>
      </c>
      <c r="B739" s="0" t="s">
        <v>2000</v>
      </c>
      <c r="C739" s="0" t="s">
        <v>850</v>
      </c>
      <c r="D739" s="2" t="s">
        <v>19</v>
      </c>
      <c r="E739" s="0" t="str">
        <f aca="false">VLOOKUP(D739,Fornitori!$A$2:$C$6,2,FALSE())</f>
        <v>Elettrotecnica Ferri</v>
      </c>
      <c r="F739" s="0" t="n">
        <v>50</v>
      </c>
      <c r="G739" s="0" t="n">
        <v>17</v>
      </c>
      <c r="H739" s="0" t="str">
        <f aca="false">IF(F739&lt;G739,"SI","NO")</f>
        <v>NO</v>
      </c>
    </row>
    <row r="740" customFormat="false" ht="15" hidden="false" customHeight="false" outlineLevel="0" collapsed="false">
      <c r="A740" s="0" t="s">
        <v>2001</v>
      </c>
      <c r="B740" s="0" t="s">
        <v>98</v>
      </c>
      <c r="C740" s="0" t="s">
        <v>559</v>
      </c>
      <c r="D740" s="2" t="s">
        <v>23</v>
      </c>
      <c r="E740" s="0" t="str">
        <f aca="false">VLOOKUP(D740,Fornitori!$A$2:$C$6,2,FALSE())</f>
        <v>Pneumax Service</v>
      </c>
      <c r="F740" s="0" t="n">
        <v>52</v>
      </c>
      <c r="G740" s="0" t="n">
        <v>7</v>
      </c>
      <c r="H740" s="0" t="str">
        <f aca="false">IF(F740&lt;G740,"SI","NO")</f>
        <v>NO</v>
      </c>
    </row>
    <row r="741" customFormat="false" ht="15" hidden="false" customHeight="false" outlineLevel="0" collapsed="false">
      <c r="A741" s="0" t="s">
        <v>2002</v>
      </c>
      <c r="B741" s="0" t="s">
        <v>2003</v>
      </c>
      <c r="C741" s="0" t="s">
        <v>2004</v>
      </c>
      <c r="D741" s="2" t="s">
        <v>27</v>
      </c>
      <c r="E741" s="0" t="str">
        <f aca="false">VLOOKUP(D741,Fornitori!$A$2:$C$6,2,FALSE())</f>
        <v>Guarnizioni Alpi</v>
      </c>
      <c r="F741" s="0" t="n">
        <v>42</v>
      </c>
      <c r="G741" s="0" t="n">
        <v>5</v>
      </c>
      <c r="H741" s="0" t="str">
        <f aca="false">IF(F741&lt;G741,"SI","NO")</f>
        <v>NO</v>
      </c>
    </row>
    <row r="742" customFormat="false" ht="15" hidden="false" customHeight="false" outlineLevel="0" collapsed="false">
      <c r="A742" s="0" t="s">
        <v>2005</v>
      </c>
      <c r="B742" s="0" t="s">
        <v>2006</v>
      </c>
      <c r="C742" s="0" t="s">
        <v>2007</v>
      </c>
      <c r="D742" s="2" t="s">
        <v>11</v>
      </c>
      <c r="E742" s="0" t="str">
        <f aca="false">VLOOKUP(D742,Fornitori!$A$2:$C$6,2,FALSE())</f>
        <v>Meccanica Bassi S.r.l.</v>
      </c>
      <c r="F742" s="0" t="n">
        <v>53</v>
      </c>
      <c r="G742" s="0" t="n">
        <v>19</v>
      </c>
      <c r="H742" s="0" t="str">
        <f aca="false">IF(F742&lt;G742,"SI","NO")</f>
        <v>NO</v>
      </c>
    </row>
    <row r="743" customFormat="false" ht="15" hidden="false" customHeight="false" outlineLevel="0" collapsed="false">
      <c r="A743" s="0" t="s">
        <v>2008</v>
      </c>
      <c r="B743" s="0" t="s">
        <v>2009</v>
      </c>
      <c r="C743" s="0" t="s">
        <v>853</v>
      </c>
      <c r="D743" s="2" t="s">
        <v>15</v>
      </c>
      <c r="E743" s="0" t="str">
        <f aca="false">VLOOKUP(D743,Fornitori!$A$2:$C$6,2,FALSE())</f>
        <v>Rulmeca Italia</v>
      </c>
      <c r="F743" s="0" t="n">
        <v>7</v>
      </c>
      <c r="G743" s="0" t="n">
        <v>24</v>
      </c>
      <c r="H743" s="0" t="str">
        <f aca="false">IF(F743&lt;G743,"SI","NO")</f>
        <v>SI</v>
      </c>
    </row>
    <row r="744" customFormat="false" ht="15" hidden="false" customHeight="false" outlineLevel="0" collapsed="false">
      <c r="A744" s="0" t="s">
        <v>2010</v>
      </c>
      <c r="B744" s="0" t="s">
        <v>2011</v>
      </c>
      <c r="C744" s="0" t="s">
        <v>2012</v>
      </c>
      <c r="D744" s="2" t="s">
        <v>19</v>
      </c>
      <c r="E744" s="0" t="str">
        <f aca="false">VLOOKUP(D744,Fornitori!$A$2:$C$6,2,FALSE())</f>
        <v>Elettrotecnica Ferri</v>
      </c>
      <c r="F744" s="0" t="n">
        <v>5</v>
      </c>
      <c r="G744" s="0" t="n">
        <v>12</v>
      </c>
      <c r="H744" s="0" t="str">
        <f aca="false">IF(F744&lt;G744,"SI","NO")</f>
        <v>SI</v>
      </c>
    </row>
    <row r="745" customFormat="false" ht="15" hidden="false" customHeight="false" outlineLevel="0" collapsed="false">
      <c r="A745" s="0" t="s">
        <v>2013</v>
      </c>
      <c r="B745" s="0" t="s">
        <v>2014</v>
      </c>
      <c r="C745" s="0" t="s">
        <v>1051</v>
      </c>
      <c r="D745" s="2" t="s">
        <v>23</v>
      </c>
      <c r="E745" s="0" t="str">
        <f aca="false">VLOOKUP(D745,Fornitori!$A$2:$C$6,2,FALSE())</f>
        <v>Pneumax Service</v>
      </c>
      <c r="F745" s="0" t="n">
        <v>19</v>
      </c>
      <c r="G745" s="0" t="n">
        <v>14</v>
      </c>
      <c r="H745" s="0" t="str">
        <f aca="false">IF(F745&lt;G745,"SI","NO")</f>
        <v>NO</v>
      </c>
    </row>
    <row r="746" customFormat="false" ht="15" hidden="false" customHeight="false" outlineLevel="0" collapsed="false">
      <c r="A746" s="0" t="s">
        <v>2015</v>
      </c>
      <c r="B746" s="0" t="s">
        <v>2016</v>
      </c>
      <c r="C746" s="0" t="s">
        <v>2017</v>
      </c>
      <c r="D746" s="2" t="s">
        <v>27</v>
      </c>
      <c r="E746" s="0" t="str">
        <f aca="false">VLOOKUP(D746,Fornitori!$A$2:$C$6,2,FALSE())</f>
        <v>Guarnizioni Alpi</v>
      </c>
      <c r="F746" s="0" t="n">
        <v>5</v>
      </c>
      <c r="G746" s="0" t="n">
        <v>7</v>
      </c>
      <c r="H746" s="0" t="str">
        <f aca="false">IF(F746&lt;G746,"SI","NO")</f>
        <v>SI</v>
      </c>
    </row>
    <row r="747" customFormat="false" ht="15" hidden="false" customHeight="false" outlineLevel="0" collapsed="false">
      <c r="A747" s="0" t="s">
        <v>2018</v>
      </c>
      <c r="B747" s="0" t="s">
        <v>2019</v>
      </c>
      <c r="C747" s="0" t="s">
        <v>99</v>
      </c>
      <c r="D747" s="2" t="s">
        <v>11</v>
      </c>
      <c r="E747" s="0" t="str">
        <f aca="false">VLOOKUP(D747,Fornitori!$A$2:$C$6,2,FALSE())</f>
        <v>Meccanica Bassi S.r.l.</v>
      </c>
      <c r="F747" s="0" t="n">
        <v>29</v>
      </c>
      <c r="G747" s="0" t="n">
        <v>18</v>
      </c>
      <c r="H747" s="0" t="str">
        <f aca="false">IF(F747&lt;G747,"SI","NO")</f>
        <v>NO</v>
      </c>
    </row>
    <row r="748" customFormat="false" ht="15" hidden="false" customHeight="false" outlineLevel="0" collapsed="false">
      <c r="A748" s="0" t="s">
        <v>2020</v>
      </c>
      <c r="B748" s="0" t="s">
        <v>2021</v>
      </c>
      <c r="C748" s="0" t="s">
        <v>1048</v>
      </c>
      <c r="D748" s="2" t="s">
        <v>15</v>
      </c>
      <c r="E748" s="0" t="str">
        <f aca="false">VLOOKUP(D748,Fornitori!$A$2:$C$6,2,FALSE())</f>
        <v>Rulmeca Italia</v>
      </c>
      <c r="F748" s="0" t="n">
        <v>46</v>
      </c>
      <c r="G748" s="0" t="n">
        <v>5</v>
      </c>
      <c r="H748" s="0" t="str">
        <f aca="false">IF(F748&lt;G748,"SI","NO")</f>
        <v>NO</v>
      </c>
    </row>
    <row r="749" customFormat="false" ht="15" hidden="false" customHeight="false" outlineLevel="0" collapsed="false">
      <c r="A749" s="0" t="s">
        <v>2022</v>
      </c>
      <c r="B749" s="0" t="s">
        <v>2023</v>
      </c>
      <c r="C749" s="0" t="s">
        <v>927</v>
      </c>
      <c r="D749" s="2" t="s">
        <v>19</v>
      </c>
      <c r="E749" s="0" t="str">
        <f aca="false">VLOOKUP(D749,Fornitori!$A$2:$C$6,2,FALSE())</f>
        <v>Elettrotecnica Ferri</v>
      </c>
      <c r="F749" s="0" t="n">
        <v>18</v>
      </c>
      <c r="G749" s="0" t="n">
        <v>19</v>
      </c>
      <c r="H749" s="0" t="str">
        <f aca="false">IF(F749&lt;G749,"SI","NO")</f>
        <v>SI</v>
      </c>
    </row>
    <row r="750" customFormat="false" ht="15" hidden="false" customHeight="false" outlineLevel="0" collapsed="false">
      <c r="A750" s="0" t="s">
        <v>2024</v>
      </c>
      <c r="B750" s="0" t="s">
        <v>2025</v>
      </c>
      <c r="C750" s="0" t="s">
        <v>2026</v>
      </c>
      <c r="D750" s="2" t="s">
        <v>23</v>
      </c>
      <c r="E750" s="0" t="str">
        <f aca="false">VLOOKUP(D750,Fornitori!$A$2:$C$6,2,FALSE())</f>
        <v>Pneumax Service</v>
      </c>
      <c r="F750" s="0" t="n">
        <v>22</v>
      </c>
      <c r="G750" s="0" t="n">
        <v>5</v>
      </c>
      <c r="H750" s="0" t="str">
        <f aca="false">IF(F750&lt;G750,"SI","NO")</f>
        <v>NO</v>
      </c>
    </row>
    <row r="751" customFormat="false" ht="15" hidden="false" customHeight="false" outlineLevel="0" collapsed="false">
      <c r="A751" s="0" t="s">
        <v>2027</v>
      </c>
      <c r="B751" s="0" t="s">
        <v>2028</v>
      </c>
      <c r="C751" s="0" t="s">
        <v>69</v>
      </c>
      <c r="D751" s="2" t="s">
        <v>27</v>
      </c>
      <c r="E751" s="0" t="str">
        <f aca="false">VLOOKUP(D751,Fornitori!$A$2:$C$6,2,FALSE())</f>
        <v>Guarnizioni Alpi</v>
      </c>
      <c r="F751" s="0" t="n">
        <v>10</v>
      </c>
      <c r="G751" s="0" t="n">
        <v>20</v>
      </c>
      <c r="H751" s="0" t="str">
        <f aca="false">IF(F751&lt;G751,"SI","NO")</f>
        <v>SI</v>
      </c>
    </row>
    <row r="752" customFormat="false" ht="15" hidden="false" customHeight="false" outlineLevel="0" collapsed="false">
      <c r="A752" s="0" t="s">
        <v>2029</v>
      </c>
      <c r="B752" s="0" t="s">
        <v>2030</v>
      </c>
      <c r="C752" s="0" t="s">
        <v>2031</v>
      </c>
      <c r="D752" s="2" t="s">
        <v>11</v>
      </c>
      <c r="E752" s="0" t="str">
        <f aca="false">VLOOKUP(D752,Fornitori!$A$2:$C$6,2,FALSE())</f>
        <v>Meccanica Bassi S.r.l.</v>
      </c>
      <c r="F752" s="0" t="n">
        <v>34</v>
      </c>
      <c r="G752" s="0" t="n">
        <v>5</v>
      </c>
      <c r="H752" s="0" t="str">
        <f aca="false">IF(F752&lt;G752,"SI","NO")</f>
        <v>NO</v>
      </c>
    </row>
    <row r="753" customFormat="false" ht="15" hidden="false" customHeight="false" outlineLevel="0" collapsed="false">
      <c r="A753" s="0" t="s">
        <v>2032</v>
      </c>
      <c r="B753" s="0" t="s">
        <v>2033</v>
      </c>
      <c r="C753" s="0" t="s">
        <v>1593</v>
      </c>
      <c r="D753" s="2" t="s">
        <v>15</v>
      </c>
      <c r="E753" s="0" t="str">
        <f aca="false">VLOOKUP(D753,Fornitori!$A$2:$C$6,2,FALSE())</f>
        <v>Rulmeca Italia</v>
      </c>
      <c r="F753" s="0" t="n">
        <v>49</v>
      </c>
      <c r="G753" s="0" t="n">
        <v>12</v>
      </c>
      <c r="H753" s="0" t="str">
        <f aca="false">IF(F753&lt;G753,"SI","NO")</f>
        <v>NO</v>
      </c>
    </row>
    <row r="754" customFormat="false" ht="15" hidden="false" customHeight="false" outlineLevel="0" collapsed="false">
      <c r="A754" s="0" t="s">
        <v>2034</v>
      </c>
      <c r="B754" s="0" t="s">
        <v>2035</v>
      </c>
      <c r="C754" s="0" t="s">
        <v>547</v>
      </c>
      <c r="D754" s="2" t="s">
        <v>19</v>
      </c>
      <c r="E754" s="0" t="str">
        <f aca="false">VLOOKUP(D754,Fornitori!$A$2:$C$6,2,FALSE())</f>
        <v>Elettrotecnica Ferri</v>
      </c>
      <c r="F754" s="0" t="n">
        <v>52</v>
      </c>
      <c r="G754" s="0" t="n">
        <v>15</v>
      </c>
      <c r="H754" s="0" t="str">
        <f aca="false">IF(F754&lt;G754,"SI","NO")</f>
        <v>NO</v>
      </c>
    </row>
    <row r="755" customFormat="false" ht="15" hidden="false" customHeight="false" outlineLevel="0" collapsed="false">
      <c r="A755" s="0" t="s">
        <v>2036</v>
      </c>
      <c r="B755" s="0" t="s">
        <v>2037</v>
      </c>
      <c r="C755" s="0" t="s">
        <v>128</v>
      </c>
      <c r="D755" s="2" t="s">
        <v>23</v>
      </c>
      <c r="E755" s="0" t="str">
        <f aca="false">VLOOKUP(D755,Fornitori!$A$2:$C$6,2,FALSE())</f>
        <v>Pneumax Service</v>
      </c>
      <c r="F755" s="0" t="n">
        <v>34</v>
      </c>
      <c r="G755" s="0" t="n">
        <v>8</v>
      </c>
      <c r="H755" s="0" t="str">
        <f aca="false">IF(F755&lt;G755,"SI","NO")</f>
        <v>NO</v>
      </c>
    </row>
    <row r="756" customFormat="false" ht="15" hidden="false" customHeight="false" outlineLevel="0" collapsed="false">
      <c r="A756" s="0" t="s">
        <v>2038</v>
      </c>
      <c r="B756" s="0" t="s">
        <v>2039</v>
      </c>
      <c r="C756" s="0" t="s">
        <v>395</v>
      </c>
      <c r="D756" s="2" t="s">
        <v>27</v>
      </c>
      <c r="E756" s="0" t="str">
        <f aca="false">VLOOKUP(D756,Fornitori!$A$2:$C$6,2,FALSE())</f>
        <v>Guarnizioni Alpi</v>
      </c>
      <c r="F756" s="0" t="n">
        <v>41</v>
      </c>
      <c r="G756" s="0" t="n">
        <v>22</v>
      </c>
      <c r="H756" s="0" t="str">
        <f aca="false">IF(F756&lt;G756,"SI","NO")</f>
        <v>NO</v>
      </c>
    </row>
    <row r="757" customFormat="false" ht="15" hidden="false" customHeight="false" outlineLevel="0" collapsed="false">
      <c r="A757" s="0" t="s">
        <v>2040</v>
      </c>
      <c r="B757" s="0" t="s">
        <v>2041</v>
      </c>
      <c r="C757" s="0" t="s">
        <v>702</v>
      </c>
      <c r="D757" s="2" t="s">
        <v>11</v>
      </c>
      <c r="E757" s="0" t="str">
        <f aca="false">VLOOKUP(D757,Fornitori!$A$2:$C$6,2,FALSE())</f>
        <v>Meccanica Bassi S.r.l.</v>
      </c>
      <c r="F757" s="0" t="n">
        <v>13</v>
      </c>
      <c r="G757" s="0" t="n">
        <v>14</v>
      </c>
      <c r="H757" s="0" t="str">
        <f aca="false">IF(F757&lt;G757,"SI","NO")</f>
        <v>SI</v>
      </c>
    </row>
    <row r="758" customFormat="false" ht="15" hidden="false" customHeight="false" outlineLevel="0" collapsed="false">
      <c r="A758" s="0" t="s">
        <v>2042</v>
      </c>
      <c r="B758" s="0" t="s">
        <v>2043</v>
      </c>
      <c r="C758" s="0" t="s">
        <v>2044</v>
      </c>
      <c r="D758" s="2" t="s">
        <v>15</v>
      </c>
      <c r="E758" s="0" t="str">
        <f aca="false">VLOOKUP(D758,Fornitori!$A$2:$C$6,2,FALSE())</f>
        <v>Rulmeca Italia</v>
      </c>
      <c r="F758" s="0" t="n">
        <v>11</v>
      </c>
      <c r="G758" s="0" t="n">
        <v>24</v>
      </c>
      <c r="H758" s="0" t="str">
        <f aca="false">IF(F758&lt;G758,"SI","NO")</f>
        <v>SI</v>
      </c>
    </row>
    <row r="759" customFormat="false" ht="15" hidden="false" customHeight="false" outlineLevel="0" collapsed="false">
      <c r="A759" s="0" t="s">
        <v>2045</v>
      </c>
      <c r="B759" s="0" t="s">
        <v>2046</v>
      </c>
      <c r="C759" s="0" t="s">
        <v>2047</v>
      </c>
      <c r="D759" s="2" t="s">
        <v>19</v>
      </c>
      <c r="E759" s="0" t="str">
        <f aca="false">VLOOKUP(D759,Fornitori!$A$2:$C$6,2,FALSE())</f>
        <v>Elettrotecnica Ferri</v>
      </c>
      <c r="F759" s="0" t="n">
        <v>18</v>
      </c>
      <c r="G759" s="0" t="n">
        <v>17</v>
      </c>
      <c r="H759" s="0" t="str">
        <f aca="false">IF(F759&lt;G759,"SI","NO")</f>
        <v>NO</v>
      </c>
    </row>
    <row r="760" customFormat="false" ht="15" hidden="false" customHeight="false" outlineLevel="0" collapsed="false">
      <c r="A760" s="0" t="s">
        <v>2048</v>
      </c>
      <c r="B760" s="0" t="s">
        <v>2049</v>
      </c>
      <c r="C760" s="0" t="s">
        <v>2050</v>
      </c>
      <c r="D760" s="2" t="s">
        <v>23</v>
      </c>
      <c r="E760" s="0" t="str">
        <f aca="false">VLOOKUP(D760,Fornitori!$A$2:$C$6,2,FALSE())</f>
        <v>Pneumax Service</v>
      </c>
      <c r="F760" s="0" t="n">
        <v>44</v>
      </c>
      <c r="G760" s="0" t="n">
        <v>11</v>
      </c>
      <c r="H760" s="0" t="str">
        <f aca="false">IF(F760&lt;G760,"SI","NO")</f>
        <v>NO</v>
      </c>
    </row>
    <row r="761" customFormat="false" ht="15" hidden="false" customHeight="false" outlineLevel="0" collapsed="false">
      <c r="A761" s="0" t="s">
        <v>2051</v>
      </c>
      <c r="B761" s="0" t="s">
        <v>2052</v>
      </c>
      <c r="C761" s="0" t="s">
        <v>2053</v>
      </c>
      <c r="D761" s="2" t="s">
        <v>27</v>
      </c>
      <c r="E761" s="0" t="str">
        <f aca="false">VLOOKUP(D761,Fornitori!$A$2:$C$6,2,FALSE())</f>
        <v>Guarnizioni Alpi</v>
      </c>
      <c r="F761" s="0" t="n">
        <v>38</v>
      </c>
      <c r="G761" s="0" t="n">
        <v>7</v>
      </c>
      <c r="H761" s="0" t="str">
        <f aca="false">IF(F761&lt;G761,"SI","NO")</f>
        <v>NO</v>
      </c>
    </row>
    <row r="762" customFormat="false" ht="15" hidden="false" customHeight="false" outlineLevel="0" collapsed="false">
      <c r="A762" s="0" t="s">
        <v>2054</v>
      </c>
      <c r="B762" s="0" t="s">
        <v>2055</v>
      </c>
      <c r="C762" s="0" t="s">
        <v>1956</v>
      </c>
      <c r="D762" s="2" t="s">
        <v>11</v>
      </c>
      <c r="E762" s="0" t="str">
        <f aca="false">VLOOKUP(D762,Fornitori!$A$2:$C$6,2,FALSE())</f>
        <v>Meccanica Bassi S.r.l.</v>
      </c>
      <c r="F762" s="0" t="n">
        <v>4</v>
      </c>
      <c r="G762" s="0" t="n">
        <v>22</v>
      </c>
      <c r="H762" s="0" t="str">
        <f aca="false">IF(F762&lt;G762,"SI","NO")</f>
        <v>SI</v>
      </c>
    </row>
    <row r="763" customFormat="false" ht="15" hidden="false" customHeight="false" outlineLevel="0" collapsed="false">
      <c r="A763" s="0" t="s">
        <v>2056</v>
      </c>
      <c r="B763" s="0" t="s">
        <v>400</v>
      </c>
      <c r="C763" s="0" t="s">
        <v>626</v>
      </c>
      <c r="D763" s="2" t="s">
        <v>15</v>
      </c>
      <c r="E763" s="0" t="str">
        <f aca="false">VLOOKUP(D763,Fornitori!$A$2:$C$6,2,FALSE())</f>
        <v>Rulmeca Italia</v>
      </c>
      <c r="F763" s="0" t="n">
        <v>35</v>
      </c>
      <c r="G763" s="0" t="n">
        <v>8</v>
      </c>
      <c r="H763" s="0" t="str">
        <f aca="false">IF(F763&lt;G763,"SI","NO")</f>
        <v>NO</v>
      </c>
    </row>
    <row r="764" customFormat="false" ht="15" hidden="false" customHeight="false" outlineLevel="0" collapsed="false">
      <c r="A764" s="0" t="s">
        <v>2057</v>
      </c>
      <c r="B764" s="0" t="s">
        <v>1155</v>
      </c>
      <c r="C764" s="0" t="s">
        <v>2058</v>
      </c>
      <c r="D764" s="2" t="s">
        <v>19</v>
      </c>
      <c r="E764" s="0" t="str">
        <f aca="false">VLOOKUP(D764,Fornitori!$A$2:$C$6,2,FALSE())</f>
        <v>Elettrotecnica Ferri</v>
      </c>
      <c r="F764" s="0" t="n">
        <v>57</v>
      </c>
      <c r="G764" s="0" t="n">
        <v>8</v>
      </c>
      <c r="H764" s="0" t="str">
        <f aca="false">IF(F764&lt;G764,"SI","NO")</f>
        <v>NO</v>
      </c>
    </row>
    <row r="765" customFormat="false" ht="15" hidden="false" customHeight="false" outlineLevel="0" collapsed="false">
      <c r="A765" s="0" t="s">
        <v>2059</v>
      </c>
      <c r="B765" s="0" t="s">
        <v>2060</v>
      </c>
      <c r="C765" s="0" t="s">
        <v>2061</v>
      </c>
      <c r="D765" s="2" t="s">
        <v>23</v>
      </c>
      <c r="E765" s="0" t="str">
        <f aca="false">VLOOKUP(D765,Fornitori!$A$2:$C$6,2,FALSE())</f>
        <v>Pneumax Service</v>
      </c>
      <c r="F765" s="0" t="n">
        <v>44</v>
      </c>
      <c r="G765" s="0" t="n">
        <v>10</v>
      </c>
      <c r="H765" s="0" t="str">
        <f aca="false">IF(F765&lt;G765,"SI","NO")</f>
        <v>NO</v>
      </c>
    </row>
    <row r="766" customFormat="false" ht="15" hidden="false" customHeight="false" outlineLevel="0" collapsed="false">
      <c r="A766" s="0" t="s">
        <v>2062</v>
      </c>
      <c r="B766" s="0" t="s">
        <v>2063</v>
      </c>
      <c r="C766" s="0" t="s">
        <v>2064</v>
      </c>
      <c r="D766" s="2" t="s">
        <v>27</v>
      </c>
      <c r="E766" s="0" t="str">
        <f aca="false">VLOOKUP(D766,Fornitori!$A$2:$C$6,2,FALSE())</f>
        <v>Guarnizioni Alpi</v>
      </c>
      <c r="F766" s="0" t="n">
        <v>53</v>
      </c>
      <c r="G766" s="0" t="n">
        <v>11</v>
      </c>
      <c r="H766" s="0" t="str">
        <f aca="false">IF(F766&lt;G766,"SI","NO")</f>
        <v>NO</v>
      </c>
    </row>
    <row r="767" customFormat="false" ht="15" hidden="false" customHeight="false" outlineLevel="0" collapsed="false">
      <c r="A767" s="0" t="s">
        <v>2065</v>
      </c>
      <c r="B767" s="0" t="s">
        <v>695</v>
      </c>
      <c r="C767" s="0" t="s">
        <v>2066</v>
      </c>
      <c r="D767" s="2" t="s">
        <v>11</v>
      </c>
      <c r="E767" s="0" t="str">
        <f aca="false">VLOOKUP(D767,Fornitori!$A$2:$C$6,2,FALSE())</f>
        <v>Meccanica Bassi S.r.l.</v>
      </c>
      <c r="F767" s="0" t="n">
        <v>13</v>
      </c>
      <c r="G767" s="0" t="n">
        <v>16</v>
      </c>
      <c r="H767" s="0" t="str">
        <f aca="false">IF(F767&lt;G767,"SI","NO")</f>
        <v>SI</v>
      </c>
    </row>
    <row r="768" customFormat="false" ht="15" hidden="false" customHeight="false" outlineLevel="0" collapsed="false">
      <c r="A768" s="0" t="s">
        <v>2067</v>
      </c>
      <c r="B768" s="0" t="s">
        <v>2068</v>
      </c>
      <c r="C768" s="0" t="s">
        <v>1783</v>
      </c>
      <c r="D768" s="2" t="s">
        <v>15</v>
      </c>
      <c r="E768" s="0" t="str">
        <f aca="false">VLOOKUP(D768,Fornitori!$A$2:$C$6,2,FALSE())</f>
        <v>Rulmeca Italia</v>
      </c>
      <c r="F768" s="0" t="n">
        <v>57</v>
      </c>
      <c r="G768" s="0" t="n">
        <v>7</v>
      </c>
      <c r="H768" s="0" t="str">
        <f aca="false">IF(F768&lt;G768,"SI","NO")</f>
        <v>NO</v>
      </c>
    </row>
    <row r="769" customFormat="false" ht="15" hidden="false" customHeight="false" outlineLevel="0" collapsed="false">
      <c r="A769" s="0" t="s">
        <v>2069</v>
      </c>
      <c r="B769" s="0" t="s">
        <v>272</v>
      </c>
      <c r="C769" s="0" t="s">
        <v>2070</v>
      </c>
      <c r="D769" s="2" t="s">
        <v>19</v>
      </c>
      <c r="E769" s="0" t="str">
        <f aca="false">VLOOKUP(D769,Fornitori!$A$2:$C$6,2,FALSE())</f>
        <v>Elettrotecnica Ferri</v>
      </c>
      <c r="F769" s="0" t="n">
        <v>11</v>
      </c>
      <c r="G769" s="0" t="n">
        <v>6</v>
      </c>
      <c r="H769" s="0" t="str">
        <f aca="false">IF(F769&lt;G769,"SI","NO")</f>
        <v>NO</v>
      </c>
    </row>
    <row r="770" customFormat="false" ht="15" hidden="false" customHeight="false" outlineLevel="0" collapsed="false">
      <c r="A770" s="0" t="s">
        <v>2071</v>
      </c>
      <c r="B770" s="0" t="s">
        <v>2072</v>
      </c>
      <c r="C770" s="0" t="s">
        <v>1084</v>
      </c>
      <c r="D770" s="2" t="s">
        <v>23</v>
      </c>
      <c r="E770" s="0" t="str">
        <f aca="false">VLOOKUP(D770,Fornitori!$A$2:$C$6,2,FALSE())</f>
        <v>Pneumax Service</v>
      </c>
      <c r="F770" s="0" t="n">
        <v>16</v>
      </c>
      <c r="G770" s="0" t="n">
        <v>7</v>
      </c>
      <c r="H770" s="0" t="str">
        <f aca="false">IF(F770&lt;G770,"SI","NO")</f>
        <v>NO</v>
      </c>
    </row>
    <row r="771" customFormat="false" ht="15" hidden="false" customHeight="false" outlineLevel="0" collapsed="false">
      <c r="A771" s="0" t="s">
        <v>2073</v>
      </c>
      <c r="B771" s="0" t="s">
        <v>2074</v>
      </c>
      <c r="C771" s="0" t="s">
        <v>328</v>
      </c>
      <c r="D771" s="2" t="s">
        <v>27</v>
      </c>
      <c r="E771" s="0" t="str">
        <f aca="false">VLOOKUP(D771,Fornitori!$A$2:$C$6,2,FALSE())</f>
        <v>Guarnizioni Alpi</v>
      </c>
      <c r="F771" s="0" t="n">
        <v>17</v>
      </c>
      <c r="G771" s="0" t="n">
        <v>9</v>
      </c>
      <c r="H771" s="0" t="str">
        <f aca="false">IF(F771&lt;G771,"SI","NO")</f>
        <v>NO</v>
      </c>
    </row>
    <row r="772" customFormat="false" ht="15" hidden="false" customHeight="false" outlineLevel="0" collapsed="false">
      <c r="A772" s="0" t="s">
        <v>2075</v>
      </c>
      <c r="B772" s="0" t="s">
        <v>2076</v>
      </c>
      <c r="C772" s="0" t="s">
        <v>635</v>
      </c>
      <c r="D772" s="2" t="s">
        <v>11</v>
      </c>
      <c r="E772" s="0" t="str">
        <f aca="false">VLOOKUP(D772,Fornitori!$A$2:$C$6,2,FALSE())</f>
        <v>Meccanica Bassi S.r.l.</v>
      </c>
      <c r="F772" s="0" t="n">
        <v>50</v>
      </c>
      <c r="G772" s="0" t="n">
        <v>13</v>
      </c>
      <c r="H772" s="0" t="str">
        <f aca="false">IF(F772&lt;G772,"SI","NO")</f>
        <v>NO</v>
      </c>
    </row>
    <row r="773" customFormat="false" ht="15" hidden="false" customHeight="false" outlineLevel="0" collapsed="false">
      <c r="A773" s="0" t="s">
        <v>2077</v>
      </c>
      <c r="B773" s="0" t="s">
        <v>2078</v>
      </c>
      <c r="C773" s="0" t="s">
        <v>2079</v>
      </c>
      <c r="D773" s="2" t="s">
        <v>15</v>
      </c>
      <c r="E773" s="0" t="str">
        <f aca="false">VLOOKUP(D773,Fornitori!$A$2:$C$6,2,FALSE())</f>
        <v>Rulmeca Italia</v>
      </c>
      <c r="F773" s="0" t="n">
        <v>7</v>
      </c>
      <c r="G773" s="0" t="n">
        <v>12</v>
      </c>
      <c r="H773" s="0" t="str">
        <f aca="false">IF(F773&lt;G773,"SI","NO")</f>
        <v>SI</v>
      </c>
    </row>
    <row r="774" customFormat="false" ht="15" hidden="false" customHeight="false" outlineLevel="0" collapsed="false">
      <c r="A774" s="0" t="s">
        <v>2080</v>
      </c>
      <c r="B774" s="0" t="s">
        <v>2081</v>
      </c>
      <c r="C774" s="0" t="s">
        <v>26</v>
      </c>
      <c r="D774" s="2" t="s">
        <v>19</v>
      </c>
      <c r="E774" s="0" t="str">
        <f aca="false">VLOOKUP(D774,Fornitori!$A$2:$C$6,2,FALSE())</f>
        <v>Elettrotecnica Ferri</v>
      </c>
      <c r="F774" s="0" t="n">
        <v>41</v>
      </c>
      <c r="G774" s="0" t="n">
        <v>11</v>
      </c>
      <c r="H774" s="0" t="str">
        <f aca="false">IF(F774&lt;G774,"SI","NO")</f>
        <v>NO</v>
      </c>
    </row>
    <row r="775" customFormat="false" ht="15" hidden="false" customHeight="false" outlineLevel="0" collapsed="false">
      <c r="A775" s="0" t="s">
        <v>2082</v>
      </c>
      <c r="B775" s="0" t="s">
        <v>2083</v>
      </c>
      <c r="C775" s="0" t="s">
        <v>813</v>
      </c>
      <c r="D775" s="2" t="s">
        <v>23</v>
      </c>
      <c r="E775" s="0" t="str">
        <f aca="false">VLOOKUP(D775,Fornitori!$A$2:$C$6,2,FALSE())</f>
        <v>Pneumax Service</v>
      </c>
      <c r="F775" s="0" t="n">
        <v>57</v>
      </c>
      <c r="G775" s="0" t="n">
        <v>20</v>
      </c>
      <c r="H775" s="0" t="str">
        <f aca="false">IF(F775&lt;G775,"SI","NO")</f>
        <v>NO</v>
      </c>
    </row>
    <row r="776" customFormat="false" ht="15" hidden="false" customHeight="false" outlineLevel="0" collapsed="false">
      <c r="A776" s="0" t="s">
        <v>2084</v>
      </c>
      <c r="B776" s="0" t="s">
        <v>1287</v>
      </c>
      <c r="C776" s="0" t="s">
        <v>251</v>
      </c>
      <c r="D776" s="2" t="s">
        <v>27</v>
      </c>
      <c r="E776" s="0" t="str">
        <f aca="false">VLOOKUP(D776,Fornitori!$A$2:$C$6,2,FALSE())</f>
        <v>Guarnizioni Alpi</v>
      </c>
      <c r="F776" s="0" t="n">
        <v>24</v>
      </c>
      <c r="G776" s="0" t="n">
        <v>16</v>
      </c>
      <c r="H776" s="0" t="str">
        <f aca="false">IF(F776&lt;G776,"SI","NO")</f>
        <v>NO</v>
      </c>
    </row>
    <row r="777" customFormat="false" ht="15" hidden="false" customHeight="false" outlineLevel="0" collapsed="false">
      <c r="A777" s="0" t="s">
        <v>2085</v>
      </c>
      <c r="B777" s="0" t="s">
        <v>2086</v>
      </c>
      <c r="C777" s="0" t="s">
        <v>2087</v>
      </c>
      <c r="D777" s="2" t="s">
        <v>11</v>
      </c>
      <c r="E777" s="0" t="str">
        <f aca="false">VLOOKUP(D777,Fornitori!$A$2:$C$6,2,FALSE())</f>
        <v>Meccanica Bassi S.r.l.</v>
      </c>
      <c r="F777" s="0" t="n">
        <v>31</v>
      </c>
      <c r="G777" s="0" t="n">
        <v>8</v>
      </c>
      <c r="H777" s="0" t="str">
        <f aca="false">IF(F777&lt;G777,"SI","NO")</f>
        <v>NO</v>
      </c>
    </row>
    <row r="778" customFormat="false" ht="15" hidden="false" customHeight="false" outlineLevel="0" collapsed="false">
      <c r="A778" s="0" t="s">
        <v>2088</v>
      </c>
      <c r="B778" s="0" t="s">
        <v>2089</v>
      </c>
      <c r="C778" s="0" t="s">
        <v>1005</v>
      </c>
      <c r="D778" s="2" t="s">
        <v>15</v>
      </c>
      <c r="E778" s="0" t="str">
        <f aca="false">VLOOKUP(D778,Fornitori!$A$2:$C$6,2,FALSE())</f>
        <v>Rulmeca Italia</v>
      </c>
      <c r="F778" s="0" t="n">
        <v>7</v>
      </c>
      <c r="G778" s="0" t="n">
        <v>20</v>
      </c>
      <c r="H778" s="0" t="str">
        <f aca="false">IF(F778&lt;G778,"SI","NO")</f>
        <v>SI</v>
      </c>
    </row>
    <row r="779" customFormat="false" ht="15" hidden="false" customHeight="false" outlineLevel="0" collapsed="false">
      <c r="A779" s="0" t="s">
        <v>2090</v>
      </c>
      <c r="B779" s="0" t="s">
        <v>2091</v>
      </c>
      <c r="C779" s="0" t="s">
        <v>2092</v>
      </c>
      <c r="D779" s="2" t="s">
        <v>19</v>
      </c>
      <c r="E779" s="0" t="str">
        <f aca="false">VLOOKUP(D779,Fornitori!$A$2:$C$6,2,FALSE())</f>
        <v>Elettrotecnica Ferri</v>
      </c>
      <c r="F779" s="0" t="n">
        <v>3</v>
      </c>
      <c r="G779" s="0" t="n">
        <v>8</v>
      </c>
      <c r="H779" s="0" t="str">
        <f aca="false">IF(F779&lt;G779,"SI","NO")</f>
        <v>SI</v>
      </c>
    </row>
    <row r="780" customFormat="false" ht="15" hidden="false" customHeight="false" outlineLevel="0" collapsed="false">
      <c r="A780" s="0" t="s">
        <v>2093</v>
      </c>
      <c r="B780" s="0" t="s">
        <v>2094</v>
      </c>
      <c r="C780" s="0" t="s">
        <v>2095</v>
      </c>
      <c r="D780" s="2" t="s">
        <v>23</v>
      </c>
      <c r="E780" s="0" t="str">
        <f aca="false">VLOOKUP(D780,Fornitori!$A$2:$C$6,2,FALSE())</f>
        <v>Pneumax Service</v>
      </c>
      <c r="F780" s="0" t="n">
        <v>30</v>
      </c>
      <c r="G780" s="0" t="n">
        <v>12</v>
      </c>
      <c r="H780" s="0" t="str">
        <f aca="false">IF(F780&lt;G780,"SI","NO")</f>
        <v>NO</v>
      </c>
    </row>
    <row r="781" customFormat="false" ht="15" hidden="false" customHeight="false" outlineLevel="0" collapsed="false">
      <c r="A781" s="0" t="s">
        <v>2096</v>
      </c>
      <c r="B781" s="0" t="s">
        <v>2097</v>
      </c>
      <c r="C781" s="0" t="s">
        <v>2098</v>
      </c>
      <c r="D781" s="2" t="s">
        <v>27</v>
      </c>
      <c r="E781" s="0" t="str">
        <f aca="false">VLOOKUP(D781,Fornitori!$A$2:$C$6,2,FALSE())</f>
        <v>Guarnizioni Alpi</v>
      </c>
      <c r="F781" s="0" t="n">
        <v>14</v>
      </c>
      <c r="G781" s="0" t="n">
        <v>20</v>
      </c>
      <c r="H781" s="0" t="str">
        <f aca="false">IF(F781&lt;G781,"SI","NO")</f>
        <v>SI</v>
      </c>
    </row>
    <row r="782" customFormat="false" ht="15" hidden="false" customHeight="false" outlineLevel="0" collapsed="false">
      <c r="A782" s="0" t="s">
        <v>2099</v>
      </c>
      <c r="B782" s="0" t="s">
        <v>1545</v>
      </c>
      <c r="C782" s="0" t="s">
        <v>1363</v>
      </c>
      <c r="D782" s="2" t="s">
        <v>11</v>
      </c>
      <c r="E782" s="0" t="str">
        <f aca="false">VLOOKUP(D782,Fornitori!$A$2:$C$6,2,FALSE())</f>
        <v>Meccanica Bassi S.r.l.</v>
      </c>
      <c r="F782" s="0" t="n">
        <v>27</v>
      </c>
      <c r="G782" s="0" t="n">
        <v>21</v>
      </c>
      <c r="H782" s="0" t="str">
        <f aca="false">IF(F782&lt;G782,"SI","NO")</f>
        <v>NO</v>
      </c>
    </row>
    <row r="783" customFormat="false" ht="15" hidden="false" customHeight="false" outlineLevel="0" collapsed="false">
      <c r="A783" s="0" t="s">
        <v>2100</v>
      </c>
      <c r="B783" s="0" t="s">
        <v>2101</v>
      </c>
      <c r="C783" s="0" t="s">
        <v>2102</v>
      </c>
      <c r="D783" s="2" t="s">
        <v>15</v>
      </c>
      <c r="E783" s="0" t="str">
        <f aca="false">VLOOKUP(D783,Fornitori!$A$2:$C$6,2,FALSE())</f>
        <v>Rulmeca Italia</v>
      </c>
      <c r="F783" s="0" t="n">
        <v>20</v>
      </c>
      <c r="G783" s="0" t="n">
        <v>11</v>
      </c>
      <c r="H783" s="0" t="str">
        <f aca="false">IF(F783&lt;G783,"SI","NO")</f>
        <v>NO</v>
      </c>
    </row>
    <row r="784" customFormat="false" ht="15" hidden="false" customHeight="false" outlineLevel="0" collapsed="false">
      <c r="A784" s="0" t="s">
        <v>2103</v>
      </c>
      <c r="B784" s="0" t="s">
        <v>2104</v>
      </c>
      <c r="C784" s="0" t="s">
        <v>2105</v>
      </c>
      <c r="D784" s="2" t="s">
        <v>19</v>
      </c>
      <c r="E784" s="0" t="str">
        <f aca="false">VLOOKUP(D784,Fornitori!$A$2:$C$6,2,FALSE())</f>
        <v>Elettrotecnica Ferri</v>
      </c>
      <c r="F784" s="0" t="n">
        <v>59</v>
      </c>
      <c r="G784" s="0" t="n">
        <v>19</v>
      </c>
      <c r="H784" s="0" t="str">
        <f aca="false">IF(F784&lt;G784,"SI","NO")</f>
        <v>NO</v>
      </c>
    </row>
    <row r="785" customFormat="false" ht="15" hidden="false" customHeight="false" outlineLevel="0" collapsed="false">
      <c r="A785" s="0" t="s">
        <v>2106</v>
      </c>
      <c r="B785" s="0" t="s">
        <v>2107</v>
      </c>
      <c r="C785" s="0" t="s">
        <v>215</v>
      </c>
      <c r="D785" s="2" t="s">
        <v>23</v>
      </c>
      <c r="E785" s="0" t="str">
        <f aca="false">VLOOKUP(D785,Fornitori!$A$2:$C$6,2,FALSE())</f>
        <v>Pneumax Service</v>
      </c>
      <c r="F785" s="0" t="n">
        <v>6</v>
      </c>
      <c r="G785" s="0" t="n">
        <v>11</v>
      </c>
      <c r="H785" s="0" t="str">
        <f aca="false">IF(F785&lt;G785,"SI","NO")</f>
        <v>SI</v>
      </c>
    </row>
    <row r="786" customFormat="false" ht="15" hidden="false" customHeight="false" outlineLevel="0" collapsed="false">
      <c r="A786" s="0" t="s">
        <v>2108</v>
      </c>
      <c r="B786" s="0" t="s">
        <v>2109</v>
      </c>
      <c r="C786" s="0" t="s">
        <v>1540</v>
      </c>
      <c r="D786" s="2" t="s">
        <v>27</v>
      </c>
      <c r="E786" s="0" t="str">
        <f aca="false">VLOOKUP(D786,Fornitori!$A$2:$C$6,2,FALSE())</f>
        <v>Guarnizioni Alpi</v>
      </c>
      <c r="F786" s="0" t="n">
        <v>45</v>
      </c>
      <c r="G786" s="0" t="n">
        <v>20</v>
      </c>
      <c r="H786" s="0" t="str">
        <f aca="false">IF(F786&lt;G786,"SI","NO")</f>
        <v>NO</v>
      </c>
    </row>
    <row r="787" customFormat="false" ht="15" hidden="false" customHeight="false" outlineLevel="0" collapsed="false">
      <c r="A787" s="0" t="s">
        <v>2110</v>
      </c>
      <c r="B787" s="0" t="s">
        <v>2111</v>
      </c>
      <c r="C787" s="0" t="s">
        <v>164</v>
      </c>
      <c r="D787" s="2" t="s">
        <v>11</v>
      </c>
      <c r="E787" s="0" t="str">
        <f aca="false">VLOOKUP(D787,Fornitori!$A$2:$C$6,2,FALSE())</f>
        <v>Meccanica Bassi S.r.l.</v>
      </c>
      <c r="F787" s="0" t="n">
        <v>40</v>
      </c>
      <c r="G787" s="0" t="n">
        <v>21</v>
      </c>
      <c r="H787" s="0" t="str">
        <f aca="false">IF(F787&lt;G787,"SI","NO")</f>
        <v>NO</v>
      </c>
    </row>
    <row r="788" customFormat="false" ht="15" hidden="false" customHeight="false" outlineLevel="0" collapsed="false">
      <c r="A788" s="0" t="s">
        <v>2112</v>
      </c>
      <c r="B788" s="0" t="s">
        <v>2113</v>
      </c>
      <c r="C788" s="0" t="s">
        <v>2114</v>
      </c>
      <c r="D788" s="2" t="s">
        <v>15</v>
      </c>
      <c r="E788" s="0" t="str">
        <f aca="false">VLOOKUP(D788,Fornitori!$A$2:$C$6,2,FALSE())</f>
        <v>Rulmeca Italia</v>
      </c>
      <c r="F788" s="0" t="n">
        <v>2</v>
      </c>
      <c r="G788" s="0" t="n">
        <v>22</v>
      </c>
      <c r="H788" s="0" t="str">
        <f aca="false">IF(F788&lt;G788,"SI","NO")</f>
        <v>SI</v>
      </c>
    </row>
    <row r="789" customFormat="false" ht="15" hidden="false" customHeight="false" outlineLevel="0" collapsed="false">
      <c r="A789" s="0" t="s">
        <v>2115</v>
      </c>
      <c r="B789" s="0" t="s">
        <v>2116</v>
      </c>
      <c r="C789" s="0" t="s">
        <v>1095</v>
      </c>
      <c r="D789" s="2" t="s">
        <v>19</v>
      </c>
      <c r="E789" s="0" t="str">
        <f aca="false">VLOOKUP(D789,Fornitori!$A$2:$C$6,2,FALSE())</f>
        <v>Elettrotecnica Ferri</v>
      </c>
      <c r="F789" s="0" t="n">
        <v>9</v>
      </c>
      <c r="G789" s="0" t="n">
        <v>17</v>
      </c>
      <c r="H789" s="0" t="str">
        <f aca="false">IF(F789&lt;G789,"SI","NO")</f>
        <v>SI</v>
      </c>
    </row>
    <row r="790" customFormat="false" ht="15" hidden="false" customHeight="false" outlineLevel="0" collapsed="false">
      <c r="A790" s="0" t="s">
        <v>2117</v>
      </c>
      <c r="B790" s="0" t="s">
        <v>2118</v>
      </c>
      <c r="C790" s="0" t="s">
        <v>1862</v>
      </c>
      <c r="D790" s="2" t="s">
        <v>23</v>
      </c>
      <c r="E790" s="0" t="str">
        <f aca="false">VLOOKUP(D790,Fornitori!$A$2:$C$6,2,FALSE())</f>
        <v>Pneumax Service</v>
      </c>
      <c r="F790" s="0" t="n">
        <v>41</v>
      </c>
      <c r="G790" s="0" t="n">
        <v>10</v>
      </c>
      <c r="H790" s="0" t="str">
        <f aca="false">IF(F790&lt;G790,"SI","NO")</f>
        <v>NO</v>
      </c>
    </row>
    <row r="791" customFormat="false" ht="15" hidden="false" customHeight="false" outlineLevel="0" collapsed="false">
      <c r="A791" s="0" t="s">
        <v>2119</v>
      </c>
      <c r="B791" s="0" t="s">
        <v>2120</v>
      </c>
      <c r="C791" s="0" t="s">
        <v>2121</v>
      </c>
      <c r="D791" s="2" t="s">
        <v>27</v>
      </c>
      <c r="E791" s="0" t="str">
        <f aca="false">VLOOKUP(D791,Fornitori!$A$2:$C$6,2,FALSE())</f>
        <v>Guarnizioni Alpi</v>
      </c>
      <c r="F791" s="0" t="n">
        <v>28</v>
      </c>
      <c r="G791" s="0" t="n">
        <v>11</v>
      </c>
      <c r="H791" s="0" t="str">
        <f aca="false">IF(F791&lt;G791,"SI","NO")</f>
        <v>NO</v>
      </c>
    </row>
    <row r="792" customFormat="false" ht="15" hidden="false" customHeight="false" outlineLevel="0" collapsed="false">
      <c r="A792" s="0" t="s">
        <v>2122</v>
      </c>
      <c r="B792" s="0" t="s">
        <v>2123</v>
      </c>
      <c r="C792" s="0" t="s">
        <v>2124</v>
      </c>
      <c r="D792" s="2" t="s">
        <v>11</v>
      </c>
      <c r="E792" s="0" t="str">
        <f aca="false">VLOOKUP(D792,Fornitori!$A$2:$C$6,2,FALSE())</f>
        <v>Meccanica Bassi S.r.l.</v>
      </c>
      <c r="F792" s="0" t="n">
        <v>12</v>
      </c>
      <c r="G792" s="0" t="n">
        <v>14</v>
      </c>
      <c r="H792" s="0" t="str">
        <f aca="false">IF(F792&lt;G792,"SI","NO")</f>
        <v>SI</v>
      </c>
    </row>
    <row r="793" customFormat="false" ht="15" hidden="false" customHeight="false" outlineLevel="0" collapsed="false">
      <c r="A793" s="0" t="s">
        <v>2125</v>
      </c>
      <c r="B793" s="0" t="s">
        <v>2126</v>
      </c>
      <c r="C793" s="0" t="s">
        <v>563</v>
      </c>
      <c r="D793" s="2" t="s">
        <v>15</v>
      </c>
      <c r="E793" s="0" t="str">
        <f aca="false">VLOOKUP(D793,Fornitori!$A$2:$C$6,2,FALSE())</f>
        <v>Rulmeca Italia</v>
      </c>
      <c r="F793" s="0" t="n">
        <v>1</v>
      </c>
      <c r="G793" s="0" t="n">
        <v>10</v>
      </c>
      <c r="H793" s="0" t="str">
        <f aca="false">IF(F793&lt;G793,"SI","NO")</f>
        <v>SI</v>
      </c>
    </row>
    <row r="794" customFormat="false" ht="15" hidden="false" customHeight="false" outlineLevel="0" collapsed="false">
      <c r="A794" s="0" t="s">
        <v>2127</v>
      </c>
      <c r="B794" s="0" t="s">
        <v>2128</v>
      </c>
      <c r="C794" s="0" t="s">
        <v>2129</v>
      </c>
      <c r="D794" s="2" t="s">
        <v>19</v>
      </c>
      <c r="E794" s="0" t="str">
        <f aca="false">VLOOKUP(D794,Fornitori!$A$2:$C$6,2,FALSE())</f>
        <v>Elettrotecnica Ferri</v>
      </c>
      <c r="F794" s="0" t="n">
        <v>30</v>
      </c>
      <c r="G794" s="0" t="n">
        <v>16</v>
      </c>
      <c r="H794" s="0" t="str">
        <f aca="false">IF(F794&lt;G794,"SI","NO")</f>
        <v>NO</v>
      </c>
    </row>
    <row r="795" customFormat="false" ht="15" hidden="false" customHeight="false" outlineLevel="0" collapsed="false">
      <c r="A795" s="0" t="s">
        <v>2130</v>
      </c>
      <c r="B795" s="0" t="s">
        <v>2131</v>
      </c>
      <c r="C795" s="0" t="s">
        <v>2132</v>
      </c>
      <c r="D795" s="2" t="s">
        <v>23</v>
      </c>
      <c r="E795" s="0" t="str">
        <f aca="false">VLOOKUP(D795,Fornitori!$A$2:$C$6,2,FALSE())</f>
        <v>Pneumax Service</v>
      </c>
      <c r="F795" s="0" t="n">
        <v>13</v>
      </c>
      <c r="G795" s="0" t="n">
        <v>11</v>
      </c>
      <c r="H795" s="0" t="str">
        <f aca="false">IF(F795&lt;G795,"SI","NO")</f>
        <v>NO</v>
      </c>
    </row>
    <row r="796" customFormat="false" ht="15" hidden="false" customHeight="false" outlineLevel="0" collapsed="false">
      <c r="A796" s="0" t="s">
        <v>2133</v>
      </c>
      <c r="B796" s="0" t="s">
        <v>2134</v>
      </c>
      <c r="C796" s="0" t="s">
        <v>125</v>
      </c>
      <c r="D796" s="2" t="s">
        <v>27</v>
      </c>
      <c r="E796" s="0" t="str">
        <f aca="false">VLOOKUP(D796,Fornitori!$A$2:$C$6,2,FALSE())</f>
        <v>Guarnizioni Alpi</v>
      </c>
      <c r="F796" s="0" t="n">
        <v>14</v>
      </c>
      <c r="G796" s="0" t="n">
        <v>15</v>
      </c>
      <c r="H796" s="0" t="str">
        <f aca="false">IF(F796&lt;G796,"SI","NO")</f>
        <v>SI</v>
      </c>
    </row>
    <row r="797" customFormat="false" ht="15" hidden="false" customHeight="false" outlineLevel="0" collapsed="false">
      <c r="A797" s="0" t="s">
        <v>2135</v>
      </c>
      <c r="B797" s="0" t="s">
        <v>1402</v>
      </c>
      <c r="C797" s="0" t="s">
        <v>2136</v>
      </c>
      <c r="D797" s="2" t="s">
        <v>11</v>
      </c>
      <c r="E797" s="0" t="str">
        <f aca="false">VLOOKUP(D797,Fornitori!$A$2:$C$6,2,FALSE())</f>
        <v>Meccanica Bassi S.r.l.</v>
      </c>
      <c r="F797" s="0" t="n">
        <v>42</v>
      </c>
      <c r="G797" s="0" t="n">
        <v>5</v>
      </c>
      <c r="H797" s="0" t="str">
        <f aca="false">IF(F797&lt;G797,"SI","NO")</f>
        <v>NO</v>
      </c>
    </row>
    <row r="798" customFormat="false" ht="15" hidden="false" customHeight="false" outlineLevel="0" collapsed="false">
      <c r="A798" s="0" t="s">
        <v>2137</v>
      </c>
      <c r="B798" s="0" t="s">
        <v>2138</v>
      </c>
      <c r="C798" s="0" t="s">
        <v>2139</v>
      </c>
      <c r="D798" s="2" t="s">
        <v>15</v>
      </c>
      <c r="E798" s="0" t="str">
        <f aca="false">VLOOKUP(D798,Fornitori!$A$2:$C$6,2,FALSE())</f>
        <v>Rulmeca Italia</v>
      </c>
      <c r="F798" s="0" t="n">
        <v>38</v>
      </c>
      <c r="G798" s="0" t="n">
        <v>13</v>
      </c>
      <c r="H798" s="0" t="str">
        <f aca="false">IF(F798&lt;G798,"SI","NO")</f>
        <v>NO</v>
      </c>
    </row>
    <row r="799" customFormat="false" ht="15" hidden="false" customHeight="false" outlineLevel="0" collapsed="false">
      <c r="A799" s="0" t="s">
        <v>2140</v>
      </c>
      <c r="B799" s="0" t="s">
        <v>2141</v>
      </c>
      <c r="C799" s="0" t="s">
        <v>2142</v>
      </c>
      <c r="D799" s="2" t="s">
        <v>19</v>
      </c>
      <c r="E799" s="0" t="str">
        <f aca="false">VLOOKUP(D799,Fornitori!$A$2:$C$6,2,FALSE())</f>
        <v>Elettrotecnica Ferri</v>
      </c>
      <c r="F799" s="0" t="n">
        <v>15</v>
      </c>
      <c r="G799" s="0" t="n">
        <v>22</v>
      </c>
      <c r="H799" s="0" t="str">
        <f aca="false">IF(F799&lt;G799,"SI","NO")</f>
        <v>SI</v>
      </c>
    </row>
    <row r="800" customFormat="false" ht="15" hidden="false" customHeight="false" outlineLevel="0" collapsed="false">
      <c r="A800" s="0" t="s">
        <v>2143</v>
      </c>
      <c r="B800" s="0" t="s">
        <v>2144</v>
      </c>
      <c r="C800" s="0" t="s">
        <v>75</v>
      </c>
      <c r="D800" s="2" t="s">
        <v>23</v>
      </c>
      <c r="E800" s="0" t="str">
        <f aca="false">VLOOKUP(D800,Fornitori!$A$2:$C$6,2,FALSE())</f>
        <v>Pneumax Service</v>
      </c>
      <c r="F800" s="0" t="n">
        <v>33</v>
      </c>
      <c r="G800" s="0" t="n">
        <v>9</v>
      </c>
      <c r="H800" s="0" t="str">
        <f aca="false">IF(F800&lt;G800,"SI","NO")</f>
        <v>NO</v>
      </c>
    </row>
    <row r="801" customFormat="false" ht="15" hidden="false" customHeight="false" outlineLevel="0" collapsed="false">
      <c r="A801" s="0" t="s">
        <v>2145</v>
      </c>
      <c r="B801" s="0" t="s">
        <v>1641</v>
      </c>
      <c r="C801" s="0" t="s">
        <v>2146</v>
      </c>
      <c r="D801" s="2" t="s">
        <v>27</v>
      </c>
      <c r="E801" s="0" t="str">
        <f aca="false">VLOOKUP(D801,Fornitori!$A$2:$C$6,2,FALSE())</f>
        <v>Guarnizioni Alpi</v>
      </c>
      <c r="F801" s="0" t="n">
        <v>10</v>
      </c>
      <c r="G801" s="0" t="n">
        <v>7</v>
      </c>
      <c r="H801" s="0" t="str">
        <f aca="false">IF(F801&lt;G801,"SI","NO")</f>
        <v>NO</v>
      </c>
    </row>
    <row r="802" customFormat="false" ht="15" hidden="false" customHeight="false" outlineLevel="0" collapsed="false">
      <c r="A802" s="0" t="s">
        <v>2147</v>
      </c>
      <c r="B802" s="0" t="s">
        <v>1016</v>
      </c>
      <c r="C802" s="0" t="s">
        <v>2148</v>
      </c>
      <c r="D802" s="2" t="s">
        <v>11</v>
      </c>
      <c r="E802" s="0" t="str">
        <f aca="false">VLOOKUP(D802,Fornitori!$A$2:$C$6,2,FALSE())</f>
        <v>Meccanica Bassi S.r.l.</v>
      </c>
      <c r="F802" s="0" t="n">
        <v>14</v>
      </c>
      <c r="G802" s="0" t="n">
        <v>9</v>
      </c>
      <c r="H802" s="0" t="str">
        <f aca="false">IF(F802&lt;G802,"SI","NO")</f>
        <v>NO</v>
      </c>
    </row>
    <row r="803" customFormat="false" ht="15" hidden="false" customHeight="false" outlineLevel="0" collapsed="false">
      <c r="A803" s="0" t="s">
        <v>2149</v>
      </c>
      <c r="B803" s="0" t="s">
        <v>2150</v>
      </c>
      <c r="C803" s="0" t="s">
        <v>2151</v>
      </c>
      <c r="D803" s="2" t="s">
        <v>15</v>
      </c>
      <c r="E803" s="0" t="str">
        <f aca="false">VLOOKUP(D803,Fornitori!$A$2:$C$6,2,FALSE())</f>
        <v>Rulmeca Italia</v>
      </c>
      <c r="F803" s="0" t="n">
        <v>58</v>
      </c>
      <c r="G803" s="0" t="n">
        <v>8</v>
      </c>
      <c r="H803" s="0" t="str">
        <f aca="false">IF(F803&lt;G803,"SI","NO")</f>
        <v>NO</v>
      </c>
    </row>
    <row r="804" customFormat="false" ht="15" hidden="false" customHeight="false" outlineLevel="0" collapsed="false">
      <c r="A804" s="0" t="s">
        <v>2152</v>
      </c>
      <c r="B804" s="0" t="s">
        <v>2153</v>
      </c>
      <c r="C804" s="0" t="s">
        <v>1025</v>
      </c>
      <c r="D804" s="2" t="s">
        <v>19</v>
      </c>
      <c r="E804" s="0" t="str">
        <f aca="false">VLOOKUP(D804,Fornitori!$A$2:$C$6,2,FALSE())</f>
        <v>Elettrotecnica Ferri</v>
      </c>
      <c r="F804" s="0" t="n">
        <v>11</v>
      </c>
      <c r="G804" s="0" t="n">
        <v>9</v>
      </c>
      <c r="H804" s="0" t="str">
        <f aca="false">IF(F804&lt;G804,"SI","NO")</f>
        <v>NO</v>
      </c>
    </row>
    <row r="805" customFormat="false" ht="15" hidden="false" customHeight="false" outlineLevel="0" collapsed="false">
      <c r="A805" s="0" t="s">
        <v>2154</v>
      </c>
      <c r="B805" s="0" t="s">
        <v>2155</v>
      </c>
      <c r="C805" s="0" t="s">
        <v>2156</v>
      </c>
      <c r="D805" s="2" t="s">
        <v>23</v>
      </c>
      <c r="E805" s="0" t="str">
        <f aca="false">VLOOKUP(D805,Fornitori!$A$2:$C$6,2,FALSE())</f>
        <v>Pneumax Service</v>
      </c>
      <c r="F805" s="0" t="n">
        <v>42</v>
      </c>
      <c r="G805" s="0" t="n">
        <v>21</v>
      </c>
      <c r="H805" s="0" t="str">
        <f aca="false">IF(F805&lt;G805,"SI","NO")</f>
        <v>NO</v>
      </c>
    </row>
    <row r="806" customFormat="false" ht="15" hidden="false" customHeight="false" outlineLevel="0" collapsed="false">
      <c r="A806" s="0" t="s">
        <v>2157</v>
      </c>
      <c r="B806" s="0" t="s">
        <v>971</v>
      </c>
      <c r="C806" s="0" t="s">
        <v>2158</v>
      </c>
      <c r="D806" s="2" t="s">
        <v>27</v>
      </c>
      <c r="E806" s="0" t="str">
        <f aca="false">VLOOKUP(D806,Fornitori!$A$2:$C$6,2,FALSE())</f>
        <v>Guarnizioni Alpi</v>
      </c>
      <c r="F806" s="0" t="n">
        <v>33</v>
      </c>
      <c r="G806" s="0" t="n">
        <v>23</v>
      </c>
      <c r="H806" s="0" t="str">
        <f aca="false">IF(F806&lt;G806,"SI","NO")</f>
        <v>NO</v>
      </c>
    </row>
    <row r="807" customFormat="false" ht="15" hidden="false" customHeight="false" outlineLevel="0" collapsed="false">
      <c r="A807" s="0" t="s">
        <v>2159</v>
      </c>
      <c r="B807" s="0" t="s">
        <v>2160</v>
      </c>
      <c r="C807" s="0" t="s">
        <v>1376</v>
      </c>
      <c r="D807" s="2" t="s">
        <v>11</v>
      </c>
      <c r="E807" s="0" t="str">
        <f aca="false">VLOOKUP(D807,Fornitori!$A$2:$C$6,2,FALSE())</f>
        <v>Meccanica Bassi S.r.l.</v>
      </c>
      <c r="F807" s="0" t="n">
        <v>37</v>
      </c>
      <c r="G807" s="0" t="n">
        <v>13</v>
      </c>
      <c r="H807" s="0" t="str">
        <f aca="false">IF(F807&lt;G807,"SI","NO")</f>
        <v>NO</v>
      </c>
    </row>
    <row r="808" customFormat="false" ht="15" hidden="false" customHeight="false" outlineLevel="0" collapsed="false">
      <c r="A808" s="0" t="s">
        <v>2161</v>
      </c>
      <c r="B808" s="0" t="s">
        <v>1709</v>
      </c>
      <c r="C808" s="0" t="s">
        <v>1343</v>
      </c>
      <c r="D808" s="2" t="s">
        <v>15</v>
      </c>
      <c r="E808" s="0" t="str">
        <f aca="false">VLOOKUP(D808,Fornitori!$A$2:$C$6,2,FALSE())</f>
        <v>Rulmeca Italia</v>
      </c>
      <c r="F808" s="0" t="n">
        <v>26</v>
      </c>
      <c r="G808" s="0" t="n">
        <v>16</v>
      </c>
      <c r="H808" s="0" t="str">
        <f aca="false">IF(F808&lt;G808,"SI","NO")</f>
        <v>NO</v>
      </c>
    </row>
    <row r="809" customFormat="false" ht="15" hidden="false" customHeight="false" outlineLevel="0" collapsed="false">
      <c r="A809" s="0" t="s">
        <v>2162</v>
      </c>
      <c r="B809" s="0" t="s">
        <v>2163</v>
      </c>
      <c r="C809" s="0" t="s">
        <v>290</v>
      </c>
      <c r="D809" s="2" t="s">
        <v>19</v>
      </c>
      <c r="E809" s="0" t="str">
        <f aca="false">VLOOKUP(D809,Fornitori!$A$2:$C$6,2,FALSE())</f>
        <v>Elettrotecnica Ferri</v>
      </c>
      <c r="F809" s="0" t="n">
        <v>3</v>
      </c>
      <c r="G809" s="0" t="n">
        <v>24</v>
      </c>
      <c r="H809" s="0" t="str">
        <f aca="false">IF(F809&lt;G809,"SI","NO")</f>
        <v>SI</v>
      </c>
    </row>
    <row r="810" customFormat="false" ht="15" hidden="false" customHeight="false" outlineLevel="0" collapsed="false">
      <c r="A810" s="0" t="s">
        <v>2164</v>
      </c>
      <c r="B810" s="0" t="s">
        <v>1539</v>
      </c>
      <c r="C810" s="0" t="s">
        <v>2165</v>
      </c>
      <c r="D810" s="2" t="s">
        <v>23</v>
      </c>
      <c r="E810" s="0" t="str">
        <f aca="false">VLOOKUP(D810,Fornitori!$A$2:$C$6,2,FALSE())</f>
        <v>Pneumax Service</v>
      </c>
      <c r="F810" s="0" t="n">
        <v>30</v>
      </c>
      <c r="G810" s="0" t="n">
        <v>15</v>
      </c>
      <c r="H810" s="0" t="str">
        <f aca="false">IF(F810&lt;G810,"SI","NO")</f>
        <v>NO</v>
      </c>
    </row>
    <row r="811" customFormat="false" ht="15" hidden="false" customHeight="false" outlineLevel="0" collapsed="false">
      <c r="A811" s="0" t="s">
        <v>2166</v>
      </c>
      <c r="B811" s="0" t="s">
        <v>2167</v>
      </c>
      <c r="C811" s="0" t="s">
        <v>1235</v>
      </c>
      <c r="D811" s="2" t="s">
        <v>27</v>
      </c>
      <c r="E811" s="0" t="str">
        <f aca="false">VLOOKUP(D811,Fornitori!$A$2:$C$6,2,FALSE())</f>
        <v>Guarnizioni Alpi</v>
      </c>
      <c r="F811" s="0" t="n">
        <v>5</v>
      </c>
      <c r="G811" s="0" t="n">
        <v>11</v>
      </c>
      <c r="H811" s="0" t="str">
        <f aca="false">IF(F811&lt;G811,"SI","NO")</f>
        <v>SI</v>
      </c>
    </row>
    <row r="812" customFormat="false" ht="15" hidden="false" customHeight="false" outlineLevel="0" collapsed="false">
      <c r="A812" s="0" t="s">
        <v>2168</v>
      </c>
      <c r="B812" s="0" t="s">
        <v>2169</v>
      </c>
      <c r="C812" s="0" t="s">
        <v>1306</v>
      </c>
      <c r="D812" s="2" t="s">
        <v>11</v>
      </c>
      <c r="E812" s="0" t="str">
        <f aca="false">VLOOKUP(D812,Fornitori!$A$2:$C$6,2,FALSE())</f>
        <v>Meccanica Bassi S.r.l.</v>
      </c>
      <c r="F812" s="0" t="n">
        <v>23</v>
      </c>
      <c r="G812" s="0" t="n">
        <v>16</v>
      </c>
      <c r="H812" s="0" t="str">
        <f aca="false">IF(F812&lt;G812,"SI","NO")</f>
        <v>NO</v>
      </c>
    </row>
    <row r="813" customFormat="false" ht="15" hidden="false" customHeight="false" outlineLevel="0" collapsed="false">
      <c r="A813" s="0" t="s">
        <v>2170</v>
      </c>
      <c r="B813" s="0" t="s">
        <v>2171</v>
      </c>
      <c r="C813" s="0" t="s">
        <v>1763</v>
      </c>
      <c r="D813" s="2" t="s">
        <v>15</v>
      </c>
      <c r="E813" s="0" t="str">
        <f aca="false">VLOOKUP(D813,Fornitori!$A$2:$C$6,2,FALSE())</f>
        <v>Rulmeca Italia</v>
      </c>
      <c r="F813" s="0" t="n">
        <v>14</v>
      </c>
      <c r="G813" s="0" t="n">
        <v>11</v>
      </c>
      <c r="H813" s="0" t="str">
        <f aca="false">IF(F813&lt;G813,"SI","NO")</f>
        <v>NO</v>
      </c>
    </row>
    <row r="814" customFormat="false" ht="15" hidden="false" customHeight="false" outlineLevel="0" collapsed="false">
      <c r="A814" s="0" t="s">
        <v>2172</v>
      </c>
      <c r="B814" s="0" t="s">
        <v>2173</v>
      </c>
      <c r="C814" s="0" t="s">
        <v>430</v>
      </c>
      <c r="D814" s="2" t="s">
        <v>19</v>
      </c>
      <c r="E814" s="0" t="str">
        <f aca="false">VLOOKUP(D814,Fornitori!$A$2:$C$6,2,FALSE())</f>
        <v>Elettrotecnica Ferri</v>
      </c>
      <c r="F814" s="0" t="n">
        <v>56</v>
      </c>
      <c r="G814" s="0" t="n">
        <v>17</v>
      </c>
      <c r="H814" s="0" t="str">
        <f aca="false">IF(F814&lt;G814,"SI","NO")</f>
        <v>NO</v>
      </c>
    </row>
    <row r="815" customFormat="false" ht="15" hidden="false" customHeight="false" outlineLevel="0" collapsed="false">
      <c r="A815" s="0" t="s">
        <v>2174</v>
      </c>
      <c r="B815" s="0" t="s">
        <v>2175</v>
      </c>
      <c r="C815" s="0" t="s">
        <v>544</v>
      </c>
      <c r="D815" s="2" t="s">
        <v>23</v>
      </c>
      <c r="E815" s="0" t="str">
        <f aca="false">VLOOKUP(D815,Fornitori!$A$2:$C$6,2,FALSE())</f>
        <v>Pneumax Service</v>
      </c>
      <c r="F815" s="0" t="n">
        <v>29</v>
      </c>
      <c r="G815" s="0" t="n">
        <v>15</v>
      </c>
      <c r="H815" s="0" t="str">
        <f aca="false">IF(F815&lt;G815,"SI","NO")</f>
        <v>NO</v>
      </c>
    </row>
    <row r="816" customFormat="false" ht="15" hidden="false" customHeight="false" outlineLevel="0" collapsed="false">
      <c r="A816" s="0" t="s">
        <v>2176</v>
      </c>
      <c r="B816" s="0" t="s">
        <v>235</v>
      </c>
      <c r="C816" s="0" t="s">
        <v>2177</v>
      </c>
      <c r="D816" s="2" t="s">
        <v>27</v>
      </c>
      <c r="E816" s="0" t="str">
        <f aca="false">VLOOKUP(D816,Fornitori!$A$2:$C$6,2,FALSE())</f>
        <v>Guarnizioni Alpi</v>
      </c>
      <c r="F816" s="0" t="n">
        <v>51</v>
      </c>
      <c r="G816" s="0" t="n">
        <v>20</v>
      </c>
      <c r="H816" s="0" t="str">
        <f aca="false">IF(F816&lt;G816,"SI","NO")</f>
        <v>NO</v>
      </c>
    </row>
    <row r="817" customFormat="false" ht="15" hidden="false" customHeight="false" outlineLevel="0" collapsed="false">
      <c r="A817" s="0" t="s">
        <v>2178</v>
      </c>
      <c r="B817" s="0" t="s">
        <v>2179</v>
      </c>
      <c r="C817" s="0" t="s">
        <v>807</v>
      </c>
      <c r="D817" s="2" t="s">
        <v>11</v>
      </c>
      <c r="E817" s="0" t="str">
        <f aca="false">VLOOKUP(D817,Fornitori!$A$2:$C$6,2,FALSE())</f>
        <v>Meccanica Bassi S.r.l.</v>
      </c>
      <c r="F817" s="0" t="n">
        <v>7</v>
      </c>
      <c r="G817" s="0" t="n">
        <v>14</v>
      </c>
      <c r="H817" s="0" t="str">
        <f aca="false">IF(F817&lt;G817,"SI","NO")</f>
        <v>SI</v>
      </c>
    </row>
    <row r="818" customFormat="false" ht="15" hidden="false" customHeight="false" outlineLevel="0" collapsed="false">
      <c r="A818" s="0" t="s">
        <v>2180</v>
      </c>
      <c r="B818" s="0" t="s">
        <v>531</v>
      </c>
      <c r="C818" s="0" t="s">
        <v>1655</v>
      </c>
      <c r="D818" s="2" t="s">
        <v>15</v>
      </c>
      <c r="E818" s="0" t="str">
        <f aca="false">VLOOKUP(D818,Fornitori!$A$2:$C$6,2,FALSE())</f>
        <v>Rulmeca Italia</v>
      </c>
      <c r="F818" s="0" t="n">
        <v>49</v>
      </c>
      <c r="G818" s="0" t="n">
        <v>11</v>
      </c>
      <c r="H818" s="0" t="str">
        <f aca="false">IF(F818&lt;G818,"SI","NO")</f>
        <v>NO</v>
      </c>
    </row>
    <row r="819" customFormat="false" ht="15" hidden="false" customHeight="false" outlineLevel="0" collapsed="false">
      <c r="A819" s="0" t="s">
        <v>2181</v>
      </c>
      <c r="B819" s="0" t="s">
        <v>755</v>
      </c>
      <c r="C819" s="0" t="s">
        <v>2182</v>
      </c>
      <c r="D819" s="2" t="s">
        <v>19</v>
      </c>
      <c r="E819" s="0" t="str">
        <f aca="false">VLOOKUP(D819,Fornitori!$A$2:$C$6,2,FALSE())</f>
        <v>Elettrotecnica Ferri</v>
      </c>
      <c r="F819" s="0" t="n">
        <v>4</v>
      </c>
      <c r="G819" s="0" t="n">
        <v>24</v>
      </c>
      <c r="H819" s="0" t="str">
        <f aca="false">IF(F819&lt;G819,"SI","NO")</f>
        <v>SI</v>
      </c>
    </row>
    <row r="820" customFormat="false" ht="15" hidden="false" customHeight="false" outlineLevel="0" collapsed="false">
      <c r="A820" s="0" t="s">
        <v>2183</v>
      </c>
      <c r="B820" s="0" t="s">
        <v>2184</v>
      </c>
      <c r="C820" s="0" t="s">
        <v>1213</v>
      </c>
      <c r="D820" s="2" t="s">
        <v>23</v>
      </c>
      <c r="E820" s="0" t="str">
        <f aca="false">VLOOKUP(D820,Fornitori!$A$2:$C$6,2,FALSE())</f>
        <v>Pneumax Service</v>
      </c>
      <c r="F820" s="0" t="n">
        <v>0</v>
      </c>
      <c r="G820" s="0" t="n">
        <v>24</v>
      </c>
      <c r="H820" s="0" t="str">
        <f aca="false">IF(F820&lt;G820,"SI","NO")</f>
        <v>SI</v>
      </c>
    </row>
    <row r="821" customFormat="false" ht="15" hidden="false" customHeight="false" outlineLevel="0" collapsed="false">
      <c r="A821" s="0" t="s">
        <v>2185</v>
      </c>
      <c r="B821" s="0" t="s">
        <v>2186</v>
      </c>
      <c r="C821" s="0" t="s">
        <v>2050</v>
      </c>
      <c r="D821" s="2" t="s">
        <v>27</v>
      </c>
      <c r="E821" s="0" t="str">
        <f aca="false">VLOOKUP(D821,Fornitori!$A$2:$C$6,2,FALSE())</f>
        <v>Guarnizioni Alpi</v>
      </c>
      <c r="F821" s="0" t="n">
        <v>51</v>
      </c>
      <c r="G821" s="0" t="n">
        <v>5</v>
      </c>
      <c r="H821" s="0" t="str">
        <f aca="false">IF(F821&lt;G821,"SI","NO")</f>
        <v>NO</v>
      </c>
    </row>
    <row r="822" customFormat="false" ht="15" hidden="false" customHeight="false" outlineLevel="0" collapsed="false">
      <c r="A822" s="0" t="s">
        <v>2187</v>
      </c>
      <c r="B822" s="0" t="s">
        <v>2188</v>
      </c>
      <c r="C822" s="0" t="s">
        <v>2189</v>
      </c>
      <c r="D822" s="2" t="s">
        <v>11</v>
      </c>
      <c r="E822" s="0" t="str">
        <f aca="false">VLOOKUP(D822,Fornitori!$A$2:$C$6,2,FALSE())</f>
        <v>Meccanica Bassi S.r.l.</v>
      </c>
      <c r="F822" s="0" t="n">
        <v>14</v>
      </c>
      <c r="G822" s="0" t="n">
        <v>10</v>
      </c>
      <c r="H822" s="0" t="str">
        <f aca="false">IF(F822&lt;G822,"SI","NO")</f>
        <v>NO</v>
      </c>
    </row>
    <row r="823" customFormat="false" ht="15" hidden="false" customHeight="false" outlineLevel="0" collapsed="false">
      <c r="A823" s="0" t="s">
        <v>2190</v>
      </c>
      <c r="B823" s="0" t="s">
        <v>2191</v>
      </c>
      <c r="C823" s="0" t="s">
        <v>684</v>
      </c>
      <c r="D823" s="2" t="s">
        <v>15</v>
      </c>
      <c r="E823" s="0" t="str">
        <f aca="false">VLOOKUP(D823,Fornitori!$A$2:$C$6,2,FALSE())</f>
        <v>Rulmeca Italia</v>
      </c>
      <c r="F823" s="0" t="n">
        <v>5</v>
      </c>
      <c r="G823" s="0" t="n">
        <v>7</v>
      </c>
      <c r="H823" s="0" t="str">
        <f aca="false">IF(F823&lt;G823,"SI","NO")</f>
        <v>SI</v>
      </c>
    </row>
    <row r="824" customFormat="false" ht="15" hidden="false" customHeight="false" outlineLevel="0" collapsed="false">
      <c r="A824" s="0" t="s">
        <v>2192</v>
      </c>
      <c r="B824" s="0" t="s">
        <v>2193</v>
      </c>
      <c r="C824" s="0" t="s">
        <v>105</v>
      </c>
      <c r="D824" s="2" t="s">
        <v>19</v>
      </c>
      <c r="E824" s="0" t="str">
        <f aca="false">VLOOKUP(D824,Fornitori!$A$2:$C$6,2,FALSE())</f>
        <v>Elettrotecnica Ferri</v>
      </c>
      <c r="F824" s="0" t="n">
        <v>33</v>
      </c>
      <c r="G824" s="0" t="n">
        <v>16</v>
      </c>
      <c r="H824" s="0" t="str">
        <f aca="false">IF(F824&lt;G824,"SI","NO")</f>
        <v>NO</v>
      </c>
    </row>
    <row r="825" customFormat="false" ht="15" hidden="false" customHeight="false" outlineLevel="0" collapsed="false">
      <c r="A825" s="0" t="s">
        <v>2194</v>
      </c>
      <c r="B825" s="0" t="s">
        <v>2195</v>
      </c>
      <c r="C825" s="0" t="s">
        <v>2196</v>
      </c>
      <c r="D825" s="2" t="s">
        <v>23</v>
      </c>
      <c r="E825" s="0" t="str">
        <f aca="false">VLOOKUP(D825,Fornitori!$A$2:$C$6,2,FALSE())</f>
        <v>Pneumax Service</v>
      </c>
      <c r="F825" s="0" t="n">
        <v>55</v>
      </c>
      <c r="G825" s="0" t="n">
        <v>13</v>
      </c>
      <c r="H825" s="0" t="str">
        <f aca="false">IF(F825&lt;G825,"SI","NO")</f>
        <v>NO</v>
      </c>
    </row>
    <row r="826" customFormat="false" ht="15" hidden="false" customHeight="false" outlineLevel="0" collapsed="false">
      <c r="A826" s="0" t="s">
        <v>2197</v>
      </c>
      <c r="B826" s="0" t="s">
        <v>2198</v>
      </c>
      <c r="C826" s="0" t="s">
        <v>2199</v>
      </c>
      <c r="D826" s="2" t="s">
        <v>27</v>
      </c>
      <c r="E826" s="0" t="str">
        <f aca="false">VLOOKUP(D826,Fornitori!$A$2:$C$6,2,FALSE())</f>
        <v>Guarnizioni Alpi</v>
      </c>
      <c r="F826" s="0" t="n">
        <v>16</v>
      </c>
      <c r="G826" s="0" t="n">
        <v>7</v>
      </c>
      <c r="H826" s="0" t="str">
        <f aca="false">IF(F826&lt;G826,"SI","NO")</f>
        <v>NO</v>
      </c>
    </row>
    <row r="827" customFormat="false" ht="15" hidden="false" customHeight="false" outlineLevel="0" collapsed="false">
      <c r="A827" s="0" t="s">
        <v>2200</v>
      </c>
      <c r="B827" s="0" t="s">
        <v>2201</v>
      </c>
      <c r="C827" s="0" t="s">
        <v>2202</v>
      </c>
      <c r="D827" s="2" t="s">
        <v>11</v>
      </c>
      <c r="E827" s="0" t="str">
        <f aca="false">VLOOKUP(D827,Fornitori!$A$2:$C$6,2,FALSE())</f>
        <v>Meccanica Bassi S.r.l.</v>
      </c>
      <c r="F827" s="0" t="n">
        <v>8</v>
      </c>
      <c r="G827" s="0" t="n">
        <v>15</v>
      </c>
      <c r="H827" s="0" t="str">
        <f aca="false">IF(F827&lt;G827,"SI","NO")</f>
        <v>SI</v>
      </c>
    </row>
    <row r="828" customFormat="false" ht="15" hidden="false" customHeight="false" outlineLevel="0" collapsed="false">
      <c r="A828" s="0" t="s">
        <v>2203</v>
      </c>
      <c r="B828" s="0" t="s">
        <v>864</v>
      </c>
      <c r="C828" s="0" t="s">
        <v>2204</v>
      </c>
      <c r="D828" s="2" t="s">
        <v>15</v>
      </c>
      <c r="E828" s="0" t="str">
        <f aca="false">VLOOKUP(D828,Fornitori!$A$2:$C$6,2,FALSE())</f>
        <v>Rulmeca Italia</v>
      </c>
      <c r="F828" s="0" t="n">
        <v>38</v>
      </c>
      <c r="G828" s="0" t="n">
        <v>22</v>
      </c>
      <c r="H828" s="0" t="str">
        <f aca="false">IF(F828&lt;G828,"SI","NO")</f>
        <v>NO</v>
      </c>
    </row>
    <row r="829" customFormat="false" ht="15" hidden="false" customHeight="false" outlineLevel="0" collapsed="false">
      <c r="A829" s="0" t="s">
        <v>2205</v>
      </c>
      <c r="B829" s="0" t="s">
        <v>2206</v>
      </c>
      <c r="C829" s="0" t="s">
        <v>2207</v>
      </c>
      <c r="D829" s="2" t="s">
        <v>19</v>
      </c>
      <c r="E829" s="0" t="str">
        <f aca="false">VLOOKUP(D829,Fornitori!$A$2:$C$6,2,FALSE())</f>
        <v>Elettrotecnica Ferri</v>
      </c>
      <c r="F829" s="0" t="n">
        <v>45</v>
      </c>
      <c r="G829" s="0" t="n">
        <v>5</v>
      </c>
      <c r="H829" s="0" t="str">
        <f aca="false">IF(F829&lt;G829,"SI","NO")</f>
        <v>NO</v>
      </c>
    </row>
    <row r="830" customFormat="false" ht="15" hidden="false" customHeight="false" outlineLevel="0" collapsed="false">
      <c r="A830" s="0" t="s">
        <v>2208</v>
      </c>
      <c r="B830" s="0" t="s">
        <v>2209</v>
      </c>
      <c r="C830" s="0" t="s">
        <v>1715</v>
      </c>
      <c r="D830" s="2" t="s">
        <v>23</v>
      </c>
      <c r="E830" s="0" t="str">
        <f aca="false">VLOOKUP(D830,Fornitori!$A$2:$C$6,2,FALSE())</f>
        <v>Pneumax Service</v>
      </c>
      <c r="F830" s="0" t="n">
        <v>4</v>
      </c>
      <c r="G830" s="0" t="n">
        <v>23</v>
      </c>
      <c r="H830" s="0" t="str">
        <f aca="false">IF(F830&lt;G830,"SI","NO")</f>
        <v>SI</v>
      </c>
    </row>
    <row r="831" customFormat="false" ht="15" hidden="false" customHeight="false" outlineLevel="0" collapsed="false">
      <c r="A831" s="0" t="s">
        <v>2210</v>
      </c>
      <c r="B831" s="0" t="s">
        <v>2211</v>
      </c>
      <c r="C831" s="0" t="s">
        <v>2212</v>
      </c>
      <c r="D831" s="2" t="s">
        <v>27</v>
      </c>
      <c r="E831" s="0" t="str">
        <f aca="false">VLOOKUP(D831,Fornitori!$A$2:$C$6,2,FALSE())</f>
        <v>Guarnizioni Alpi</v>
      </c>
      <c r="F831" s="0" t="n">
        <v>52</v>
      </c>
      <c r="G831" s="0" t="n">
        <v>12</v>
      </c>
      <c r="H831" s="0" t="str">
        <f aca="false">IF(F831&lt;G831,"SI","NO")</f>
        <v>NO</v>
      </c>
    </row>
    <row r="832" customFormat="false" ht="15" hidden="false" customHeight="false" outlineLevel="0" collapsed="false">
      <c r="A832" s="0" t="s">
        <v>2213</v>
      </c>
      <c r="B832" s="0" t="s">
        <v>2214</v>
      </c>
      <c r="C832" s="0" t="s">
        <v>2215</v>
      </c>
      <c r="D832" s="2" t="s">
        <v>11</v>
      </c>
      <c r="E832" s="0" t="str">
        <f aca="false">VLOOKUP(D832,Fornitori!$A$2:$C$6,2,FALSE())</f>
        <v>Meccanica Bassi S.r.l.</v>
      </c>
      <c r="F832" s="0" t="n">
        <v>8</v>
      </c>
      <c r="G832" s="0" t="n">
        <v>5</v>
      </c>
      <c r="H832" s="0" t="str">
        <f aca="false">IF(F832&lt;G832,"SI","NO")</f>
        <v>NO</v>
      </c>
    </row>
    <row r="833" customFormat="false" ht="15" hidden="false" customHeight="false" outlineLevel="0" collapsed="false">
      <c r="A833" s="0" t="s">
        <v>2216</v>
      </c>
      <c r="B833" s="0" t="s">
        <v>2217</v>
      </c>
      <c r="C833" s="0" t="s">
        <v>596</v>
      </c>
      <c r="D833" s="2" t="s">
        <v>15</v>
      </c>
      <c r="E833" s="0" t="str">
        <f aca="false">VLOOKUP(D833,Fornitori!$A$2:$C$6,2,FALSE())</f>
        <v>Rulmeca Italia</v>
      </c>
      <c r="F833" s="0" t="n">
        <v>40</v>
      </c>
      <c r="G833" s="0" t="n">
        <v>19</v>
      </c>
      <c r="H833" s="0" t="str">
        <f aca="false">IF(F833&lt;G833,"SI","NO")</f>
        <v>NO</v>
      </c>
    </row>
    <row r="834" customFormat="false" ht="15" hidden="false" customHeight="false" outlineLevel="0" collapsed="false">
      <c r="A834" s="0" t="s">
        <v>2218</v>
      </c>
      <c r="B834" s="0" t="s">
        <v>80</v>
      </c>
      <c r="C834" s="0" t="s">
        <v>345</v>
      </c>
      <c r="D834" s="2" t="s">
        <v>19</v>
      </c>
      <c r="E834" s="0" t="str">
        <f aca="false">VLOOKUP(D834,Fornitori!$A$2:$C$6,2,FALSE())</f>
        <v>Elettrotecnica Ferri</v>
      </c>
      <c r="F834" s="0" t="n">
        <v>21</v>
      </c>
      <c r="G834" s="0" t="n">
        <v>6</v>
      </c>
      <c r="H834" s="0" t="str">
        <f aca="false">IF(F834&lt;G834,"SI","NO")</f>
        <v>NO</v>
      </c>
    </row>
    <row r="835" customFormat="false" ht="15" hidden="false" customHeight="false" outlineLevel="0" collapsed="false">
      <c r="A835" s="0" t="s">
        <v>2219</v>
      </c>
      <c r="B835" s="0" t="s">
        <v>2220</v>
      </c>
      <c r="C835" s="0" t="s">
        <v>2221</v>
      </c>
      <c r="D835" s="2" t="s">
        <v>23</v>
      </c>
      <c r="E835" s="0" t="str">
        <f aca="false">VLOOKUP(D835,Fornitori!$A$2:$C$6,2,FALSE())</f>
        <v>Pneumax Service</v>
      </c>
      <c r="F835" s="0" t="n">
        <v>18</v>
      </c>
      <c r="G835" s="0" t="n">
        <v>11</v>
      </c>
      <c r="H835" s="0" t="str">
        <f aca="false">IF(F835&lt;G835,"SI","NO")</f>
        <v>NO</v>
      </c>
    </row>
    <row r="836" customFormat="false" ht="15" hidden="false" customHeight="false" outlineLevel="0" collapsed="false">
      <c r="A836" s="0" t="s">
        <v>2222</v>
      </c>
      <c r="B836" s="0" t="s">
        <v>2223</v>
      </c>
      <c r="C836" s="0" t="s">
        <v>2224</v>
      </c>
      <c r="D836" s="2" t="s">
        <v>27</v>
      </c>
      <c r="E836" s="0" t="str">
        <f aca="false">VLOOKUP(D836,Fornitori!$A$2:$C$6,2,FALSE())</f>
        <v>Guarnizioni Alpi</v>
      </c>
      <c r="F836" s="0" t="n">
        <v>19</v>
      </c>
      <c r="G836" s="0" t="n">
        <v>13</v>
      </c>
      <c r="H836" s="0" t="str">
        <f aca="false">IF(F836&lt;G836,"SI","NO")</f>
        <v>NO</v>
      </c>
    </row>
    <row r="837" customFormat="false" ht="15" hidden="false" customHeight="false" outlineLevel="0" collapsed="false">
      <c r="A837" s="0" t="s">
        <v>2225</v>
      </c>
      <c r="B837" s="0" t="s">
        <v>2226</v>
      </c>
      <c r="C837" s="0" t="s">
        <v>2227</v>
      </c>
      <c r="D837" s="2" t="s">
        <v>11</v>
      </c>
      <c r="E837" s="0" t="str">
        <f aca="false">VLOOKUP(D837,Fornitori!$A$2:$C$6,2,FALSE())</f>
        <v>Meccanica Bassi S.r.l.</v>
      </c>
      <c r="F837" s="0" t="n">
        <v>49</v>
      </c>
      <c r="G837" s="0" t="n">
        <v>15</v>
      </c>
      <c r="H837" s="0" t="str">
        <f aca="false">IF(F837&lt;G837,"SI","NO")</f>
        <v>NO</v>
      </c>
    </row>
    <row r="838" customFormat="false" ht="15" hidden="false" customHeight="false" outlineLevel="0" collapsed="false">
      <c r="A838" s="0" t="s">
        <v>2228</v>
      </c>
      <c r="B838" s="0" t="s">
        <v>2229</v>
      </c>
      <c r="C838" s="0" t="s">
        <v>1420</v>
      </c>
      <c r="D838" s="2" t="s">
        <v>15</v>
      </c>
      <c r="E838" s="0" t="str">
        <f aca="false">VLOOKUP(D838,Fornitori!$A$2:$C$6,2,FALSE())</f>
        <v>Rulmeca Italia</v>
      </c>
      <c r="F838" s="0" t="n">
        <v>19</v>
      </c>
      <c r="G838" s="0" t="n">
        <v>6</v>
      </c>
      <c r="H838" s="0" t="str">
        <f aca="false">IF(F838&lt;G838,"SI","NO")</f>
        <v>NO</v>
      </c>
    </row>
    <row r="839" customFormat="false" ht="15" hidden="false" customHeight="false" outlineLevel="0" collapsed="false">
      <c r="A839" s="0" t="s">
        <v>2230</v>
      </c>
      <c r="B839" s="0" t="s">
        <v>2231</v>
      </c>
      <c r="C839" s="0" t="s">
        <v>1685</v>
      </c>
      <c r="D839" s="2" t="s">
        <v>19</v>
      </c>
      <c r="E839" s="0" t="str">
        <f aca="false">VLOOKUP(D839,Fornitori!$A$2:$C$6,2,FALSE())</f>
        <v>Elettrotecnica Ferri</v>
      </c>
      <c r="F839" s="0" t="n">
        <v>32</v>
      </c>
      <c r="G839" s="0" t="n">
        <v>12</v>
      </c>
      <c r="H839" s="0" t="str">
        <f aca="false">IF(F839&lt;G839,"SI","NO")</f>
        <v>NO</v>
      </c>
    </row>
    <row r="840" customFormat="false" ht="15" hidden="false" customHeight="false" outlineLevel="0" collapsed="false">
      <c r="A840" s="0" t="s">
        <v>2232</v>
      </c>
      <c r="B840" s="0" t="s">
        <v>2233</v>
      </c>
      <c r="C840" s="0" t="s">
        <v>2234</v>
      </c>
      <c r="D840" s="2" t="s">
        <v>23</v>
      </c>
      <c r="E840" s="0" t="str">
        <f aca="false">VLOOKUP(D840,Fornitori!$A$2:$C$6,2,FALSE())</f>
        <v>Pneumax Service</v>
      </c>
      <c r="F840" s="0" t="n">
        <v>12</v>
      </c>
      <c r="G840" s="0" t="n">
        <v>15</v>
      </c>
      <c r="H840" s="0" t="str">
        <f aca="false">IF(F840&lt;G840,"SI","NO")</f>
        <v>SI</v>
      </c>
    </row>
    <row r="841" customFormat="false" ht="15" hidden="false" customHeight="false" outlineLevel="0" collapsed="false">
      <c r="A841" s="0" t="s">
        <v>2235</v>
      </c>
      <c r="B841" s="0" t="s">
        <v>2236</v>
      </c>
      <c r="C841" s="0" t="s">
        <v>2237</v>
      </c>
      <c r="D841" s="2" t="s">
        <v>27</v>
      </c>
      <c r="E841" s="0" t="str">
        <f aca="false">VLOOKUP(D841,Fornitori!$A$2:$C$6,2,FALSE())</f>
        <v>Guarnizioni Alpi</v>
      </c>
      <c r="F841" s="0" t="n">
        <v>30</v>
      </c>
      <c r="G841" s="0" t="n">
        <v>21</v>
      </c>
      <c r="H841" s="0" t="str">
        <f aca="false">IF(F841&lt;G841,"SI","NO")</f>
        <v>NO</v>
      </c>
    </row>
    <row r="842" customFormat="false" ht="15" hidden="false" customHeight="false" outlineLevel="0" collapsed="false">
      <c r="A842" s="0" t="s">
        <v>2238</v>
      </c>
      <c r="B842" s="0" t="s">
        <v>2239</v>
      </c>
      <c r="C842" s="0" t="s">
        <v>2240</v>
      </c>
      <c r="D842" s="2" t="s">
        <v>11</v>
      </c>
      <c r="E842" s="0" t="str">
        <f aca="false">VLOOKUP(D842,Fornitori!$A$2:$C$6,2,FALSE())</f>
        <v>Meccanica Bassi S.r.l.</v>
      </c>
      <c r="F842" s="0" t="n">
        <v>39</v>
      </c>
      <c r="G842" s="0" t="n">
        <v>17</v>
      </c>
      <c r="H842" s="0" t="str">
        <f aca="false">IF(F842&lt;G842,"SI","NO")</f>
        <v>NO</v>
      </c>
    </row>
    <row r="843" customFormat="false" ht="15" hidden="false" customHeight="false" outlineLevel="0" collapsed="false">
      <c r="A843" s="0" t="s">
        <v>2241</v>
      </c>
      <c r="B843" s="0" t="s">
        <v>2242</v>
      </c>
      <c r="C843" s="0" t="s">
        <v>2243</v>
      </c>
      <c r="D843" s="2" t="s">
        <v>15</v>
      </c>
      <c r="E843" s="0" t="str">
        <f aca="false">VLOOKUP(D843,Fornitori!$A$2:$C$6,2,FALSE())</f>
        <v>Rulmeca Italia</v>
      </c>
      <c r="F843" s="0" t="n">
        <v>42</v>
      </c>
      <c r="G843" s="0" t="n">
        <v>21</v>
      </c>
      <c r="H843" s="0" t="str">
        <f aca="false">IF(F843&lt;G843,"SI","NO")</f>
        <v>NO</v>
      </c>
    </row>
    <row r="844" customFormat="false" ht="15" hidden="false" customHeight="false" outlineLevel="0" collapsed="false">
      <c r="A844" s="0" t="s">
        <v>2244</v>
      </c>
      <c r="B844" s="0" t="s">
        <v>2245</v>
      </c>
      <c r="C844" s="0" t="s">
        <v>842</v>
      </c>
      <c r="D844" s="2" t="s">
        <v>19</v>
      </c>
      <c r="E844" s="0" t="str">
        <f aca="false">VLOOKUP(D844,Fornitori!$A$2:$C$6,2,FALSE())</f>
        <v>Elettrotecnica Ferri</v>
      </c>
      <c r="F844" s="0" t="n">
        <v>26</v>
      </c>
      <c r="G844" s="0" t="n">
        <v>16</v>
      </c>
      <c r="H844" s="0" t="str">
        <f aca="false">IF(F844&lt;G844,"SI","NO")</f>
        <v>NO</v>
      </c>
    </row>
    <row r="845" customFormat="false" ht="15" hidden="false" customHeight="false" outlineLevel="0" collapsed="false">
      <c r="A845" s="0" t="s">
        <v>2246</v>
      </c>
      <c r="B845" s="0" t="s">
        <v>2247</v>
      </c>
      <c r="C845" s="0" t="s">
        <v>890</v>
      </c>
      <c r="D845" s="2" t="s">
        <v>23</v>
      </c>
      <c r="E845" s="0" t="str">
        <f aca="false">VLOOKUP(D845,Fornitori!$A$2:$C$6,2,FALSE())</f>
        <v>Pneumax Service</v>
      </c>
      <c r="F845" s="0" t="n">
        <v>29</v>
      </c>
      <c r="G845" s="0" t="n">
        <v>7</v>
      </c>
      <c r="H845" s="0" t="str">
        <f aca="false">IF(F845&lt;G845,"SI","NO")</f>
        <v>NO</v>
      </c>
    </row>
    <row r="846" customFormat="false" ht="15" hidden="false" customHeight="false" outlineLevel="0" collapsed="false">
      <c r="A846" s="0" t="s">
        <v>2248</v>
      </c>
      <c r="B846" s="0" t="s">
        <v>1553</v>
      </c>
      <c r="C846" s="0" t="s">
        <v>430</v>
      </c>
      <c r="D846" s="2" t="s">
        <v>27</v>
      </c>
      <c r="E846" s="0" t="str">
        <f aca="false">VLOOKUP(D846,Fornitori!$A$2:$C$6,2,FALSE())</f>
        <v>Guarnizioni Alpi</v>
      </c>
      <c r="F846" s="0" t="n">
        <v>4</v>
      </c>
      <c r="G846" s="0" t="n">
        <v>19</v>
      </c>
      <c r="H846" s="0" t="str">
        <f aca="false">IF(F846&lt;G846,"SI","NO")</f>
        <v>SI</v>
      </c>
    </row>
    <row r="847" customFormat="false" ht="15" hidden="false" customHeight="false" outlineLevel="0" collapsed="false">
      <c r="A847" s="0" t="s">
        <v>2249</v>
      </c>
      <c r="B847" s="0" t="s">
        <v>2250</v>
      </c>
      <c r="C847" s="0" t="s">
        <v>2251</v>
      </c>
      <c r="D847" s="2" t="s">
        <v>11</v>
      </c>
      <c r="E847" s="0" t="str">
        <f aca="false">VLOOKUP(D847,Fornitori!$A$2:$C$6,2,FALSE())</f>
        <v>Meccanica Bassi S.r.l.</v>
      </c>
      <c r="F847" s="0" t="n">
        <v>21</v>
      </c>
      <c r="G847" s="0" t="n">
        <v>18</v>
      </c>
      <c r="H847" s="0" t="str">
        <f aca="false">IF(F847&lt;G847,"SI","NO")</f>
        <v>NO</v>
      </c>
    </row>
    <row r="848" customFormat="false" ht="15" hidden="false" customHeight="false" outlineLevel="0" collapsed="false">
      <c r="A848" s="0" t="s">
        <v>2252</v>
      </c>
      <c r="B848" s="0" t="s">
        <v>2253</v>
      </c>
      <c r="C848" s="0" t="s">
        <v>2044</v>
      </c>
      <c r="D848" s="2" t="s">
        <v>15</v>
      </c>
      <c r="E848" s="0" t="str">
        <f aca="false">VLOOKUP(D848,Fornitori!$A$2:$C$6,2,FALSE())</f>
        <v>Rulmeca Italia</v>
      </c>
      <c r="F848" s="0" t="n">
        <v>45</v>
      </c>
      <c r="G848" s="0" t="n">
        <v>6</v>
      </c>
      <c r="H848" s="0" t="str">
        <f aca="false">IF(F848&lt;G848,"SI","NO")</f>
        <v>NO</v>
      </c>
    </row>
    <row r="849" customFormat="false" ht="15" hidden="false" customHeight="false" outlineLevel="0" collapsed="false">
      <c r="A849" s="0" t="s">
        <v>2254</v>
      </c>
      <c r="B849" s="0" t="s">
        <v>2255</v>
      </c>
      <c r="C849" s="0" t="s">
        <v>96</v>
      </c>
      <c r="D849" s="2" t="s">
        <v>19</v>
      </c>
      <c r="E849" s="0" t="str">
        <f aca="false">VLOOKUP(D849,Fornitori!$A$2:$C$6,2,FALSE())</f>
        <v>Elettrotecnica Ferri</v>
      </c>
      <c r="F849" s="0" t="n">
        <v>44</v>
      </c>
      <c r="G849" s="0" t="n">
        <v>7</v>
      </c>
      <c r="H849" s="0" t="str">
        <f aca="false">IF(F849&lt;G849,"SI","NO")</f>
        <v>NO</v>
      </c>
    </row>
    <row r="850" customFormat="false" ht="15" hidden="false" customHeight="false" outlineLevel="0" collapsed="false">
      <c r="A850" s="0" t="s">
        <v>2256</v>
      </c>
      <c r="B850" s="0" t="s">
        <v>2257</v>
      </c>
      <c r="C850" s="0" t="s">
        <v>2258</v>
      </c>
      <c r="D850" s="2" t="s">
        <v>23</v>
      </c>
      <c r="E850" s="0" t="str">
        <f aca="false">VLOOKUP(D850,Fornitori!$A$2:$C$6,2,FALSE())</f>
        <v>Pneumax Service</v>
      </c>
      <c r="F850" s="0" t="n">
        <v>11</v>
      </c>
      <c r="G850" s="0" t="n">
        <v>17</v>
      </c>
      <c r="H850" s="0" t="str">
        <f aca="false">IF(F850&lt;G850,"SI","NO")</f>
        <v>SI</v>
      </c>
    </row>
    <row r="851" customFormat="false" ht="15" hidden="false" customHeight="false" outlineLevel="0" collapsed="false">
      <c r="A851" s="0" t="s">
        <v>2259</v>
      </c>
      <c r="B851" s="0" t="s">
        <v>2260</v>
      </c>
      <c r="C851" s="0" t="s">
        <v>1580</v>
      </c>
      <c r="D851" s="2" t="s">
        <v>27</v>
      </c>
      <c r="E851" s="0" t="str">
        <f aca="false">VLOOKUP(D851,Fornitori!$A$2:$C$6,2,FALSE())</f>
        <v>Guarnizioni Alpi</v>
      </c>
      <c r="F851" s="0" t="n">
        <v>15</v>
      </c>
      <c r="G851" s="0" t="n">
        <v>19</v>
      </c>
      <c r="H851" s="0" t="str">
        <f aca="false">IF(F851&lt;G851,"SI","NO")</f>
        <v>SI</v>
      </c>
    </row>
    <row r="852" customFormat="false" ht="15" hidden="false" customHeight="false" outlineLevel="0" collapsed="false">
      <c r="A852" s="0" t="s">
        <v>2261</v>
      </c>
      <c r="B852" s="0" t="s">
        <v>2262</v>
      </c>
      <c r="C852" s="0" t="s">
        <v>2263</v>
      </c>
      <c r="D852" s="2" t="s">
        <v>11</v>
      </c>
      <c r="E852" s="0" t="str">
        <f aca="false">VLOOKUP(D852,Fornitori!$A$2:$C$6,2,FALSE())</f>
        <v>Meccanica Bassi S.r.l.</v>
      </c>
      <c r="F852" s="0" t="n">
        <v>46</v>
      </c>
      <c r="G852" s="0" t="n">
        <v>17</v>
      </c>
      <c r="H852" s="0" t="str">
        <f aca="false">IF(F852&lt;G852,"SI","NO")</f>
        <v>NO</v>
      </c>
    </row>
    <row r="853" customFormat="false" ht="15" hidden="false" customHeight="false" outlineLevel="0" collapsed="false">
      <c r="A853" s="0" t="s">
        <v>2264</v>
      </c>
      <c r="B853" s="0" t="s">
        <v>2265</v>
      </c>
      <c r="C853" s="0" t="s">
        <v>2007</v>
      </c>
      <c r="D853" s="2" t="s">
        <v>15</v>
      </c>
      <c r="E853" s="0" t="str">
        <f aca="false">VLOOKUP(D853,Fornitori!$A$2:$C$6,2,FALSE())</f>
        <v>Rulmeca Italia</v>
      </c>
      <c r="F853" s="0" t="n">
        <v>18</v>
      </c>
      <c r="G853" s="0" t="n">
        <v>19</v>
      </c>
      <c r="H853" s="0" t="str">
        <f aca="false">IF(F853&lt;G853,"SI","NO")</f>
        <v>SI</v>
      </c>
    </row>
    <row r="854" customFormat="false" ht="15" hidden="false" customHeight="false" outlineLevel="0" collapsed="false">
      <c r="A854" s="0" t="s">
        <v>2266</v>
      </c>
      <c r="B854" s="0" t="s">
        <v>2267</v>
      </c>
      <c r="C854" s="0" t="s">
        <v>2268</v>
      </c>
      <c r="D854" s="2" t="s">
        <v>19</v>
      </c>
      <c r="E854" s="0" t="str">
        <f aca="false">VLOOKUP(D854,Fornitori!$A$2:$C$6,2,FALSE())</f>
        <v>Elettrotecnica Ferri</v>
      </c>
      <c r="F854" s="0" t="n">
        <v>58</v>
      </c>
      <c r="G854" s="0" t="n">
        <v>20</v>
      </c>
      <c r="H854" s="0" t="str">
        <f aca="false">IF(F854&lt;G854,"SI","NO")</f>
        <v>NO</v>
      </c>
    </row>
    <row r="855" customFormat="false" ht="15" hidden="false" customHeight="false" outlineLevel="0" collapsed="false">
      <c r="A855" s="0" t="s">
        <v>2269</v>
      </c>
      <c r="B855" s="0" t="s">
        <v>2270</v>
      </c>
      <c r="C855" s="0" t="s">
        <v>2017</v>
      </c>
      <c r="D855" s="2" t="s">
        <v>23</v>
      </c>
      <c r="E855" s="0" t="str">
        <f aca="false">VLOOKUP(D855,Fornitori!$A$2:$C$6,2,FALSE())</f>
        <v>Pneumax Service</v>
      </c>
      <c r="F855" s="0" t="n">
        <v>16</v>
      </c>
      <c r="G855" s="0" t="n">
        <v>21</v>
      </c>
      <c r="H855" s="0" t="str">
        <f aca="false">IF(F855&lt;G855,"SI","NO")</f>
        <v>SI</v>
      </c>
    </row>
    <row r="856" customFormat="false" ht="15" hidden="false" customHeight="false" outlineLevel="0" collapsed="false">
      <c r="A856" s="0" t="s">
        <v>2271</v>
      </c>
      <c r="B856" s="0" t="s">
        <v>2272</v>
      </c>
      <c r="C856" s="0" t="s">
        <v>1207</v>
      </c>
      <c r="D856" s="2" t="s">
        <v>27</v>
      </c>
      <c r="E856" s="0" t="str">
        <f aca="false">VLOOKUP(D856,Fornitori!$A$2:$C$6,2,FALSE())</f>
        <v>Guarnizioni Alpi</v>
      </c>
      <c r="F856" s="0" t="n">
        <v>46</v>
      </c>
      <c r="G856" s="0" t="n">
        <v>15</v>
      </c>
      <c r="H856" s="0" t="str">
        <f aca="false">IF(F856&lt;G856,"SI","NO")</f>
        <v>NO</v>
      </c>
    </row>
    <row r="857" customFormat="false" ht="15" hidden="false" customHeight="false" outlineLevel="0" collapsed="false">
      <c r="A857" s="0" t="s">
        <v>2273</v>
      </c>
      <c r="B857" s="0" t="s">
        <v>2274</v>
      </c>
      <c r="C857" s="0" t="s">
        <v>2275</v>
      </c>
      <c r="D857" s="2" t="s">
        <v>11</v>
      </c>
      <c r="E857" s="0" t="str">
        <f aca="false">VLOOKUP(D857,Fornitori!$A$2:$C$6,2,FALSE())</f>
        <v>Meccanica Bassi S.r.l.</v>
      </c>
      <c r="F857" s="0" t="n">
        <v>0</v>
      </c>
      <c r="G857" s="0" t="n">
        <v>12</v>
      </c>
      <c r="H857" s="0" t="str">
        <f aca="false">IF(F857&lt;G857,"SI","NO")</f>
        <v>SI</v>
      </c>
    </row>
    <row r="858" customFormat="false" ht="15" hidden="false" customHeight="false" outlineLevel="0" collapsed="false">
      <c r="A858" s="0" t="s">
        <v>2276</v>
      </c>
      <c r="B858" s="0" t="s">
        <v>643</v>
      </c>
      <c r="C858" s="0" t="s">
        <v>943</v>
      </c>
      <c r="D858" s="2" t="s">
        <v>15</v>
      </c>
      <c r="E858" s="0" t="str">
        <f aca="false">VLOOKUP(D858,Fornitori!$A$2:$C$6,2,FALSE())</f>
        <v>Rulmeca Italia</v>
      </c>
      <c r="F858" s="0" t="n">
        <v>57</v>
      </c>
      <c r="G858" s="0" t="n">
        <v>6</v>
      </c>
      <c r="H858" s="0" t="str">
        <f aca="false">IF(F858&lt;G858,"SI","NO")</f>
        <v>NO</v>
      </c>
    </row>
    <row r="859" customFormat="false" ht="15" hidden="false" customHeight="false" outlineLevel="0" collapsed="false">
      <c r="A859" s="0" t="s">
        <v>2277</v>
      </c>
      <c r="B859" s="0" t="s">
        <v>2278</v>
      </c>
      <c r="C859" s="0" t="s">
        <v>2279</v>
      </c>
      <c r="D859" s="2" t="s">
        <v>19</v>
      </c>
      <c r="E859" s="0" t="str">
        <f aca="false">VLOOKUP(D859,Fornitori!$A$2:$C$6,2,FALSE())</f>
        <v>Elettrotecnica Ferri</v>
      </c>
      <c r="F859" s="0" t="n">
        <v>19</v>
      </c>
      <c r="G859" s="0" t="n">
        <v>16</v>
      </c>
      <c r="H859" s="0" t="str">
        <f aca="false">IF(F859&lt;G859,"SI","NO")</f>
        <v>NO</v>
      </c>
    </row>
    <row r="860" customFormat="false" ht="15" hidden="false" customHeight="false" outlineLevel="0" collapsed="false">
      <c r="A860" s="0" t="s">
        <v>2280</v>
      </c>
      <c r="B860" s="0" t="s">
        <v>2281</v>
      </c>
      <c r="C860" s="0" t="s">
        <v>2282</v>
      </c>
      <c r="D860" s="2" t="s">
        <v>23</v>
      </c>
      <c r="E860" s="0" t="str">
        <f aca="false">VLOOKUP(D860,Fornitori!$A$2:$C$6,2,FALSE())</f>
        <v>Pneumax Service</v>
      </c>
      <c r="F860" s="0" t="n">
        <v>14</v>
      </c>
      <c r="G860" s="0" t="n">
        <v>5</v>
      </c>
      <c r="H860" s="0" t="str">
        <f aca="false">IF(F860&lt;G860,"SI","NO")</f>
        <v>NO</v>
      </c>
    </row>
    <row r="861" customFormat="false" ht="15" hidden="false" customHeight="false" outlineLevel="0" collapsed="false">
      <c r="A861" s="0" t="s">
        <v>2283</v>
      </c>
      <c r="B861" s="0" t="s">
        <v>2284</v>
      </c>
      <c r="C861" s="0" t="s">
        <v>2285</v>
      </c>
      <c r="D861" s="2" t="s">
        <v>27</v>
      </c>
      <c r="E861" s="0" t="str">
        <f aca="false">VLOOKUP(D861,Fornitori!$A$2:$C$6,2,FALSE())</f>
        <v>Guarnizioni Alpi</v>
      </c>
      <c r="F861" s="0" t="n">
        <v>3</v>
      </c>
      <c r="G861" s="0" t="n">
        <v>10</v>
      </c>
      <c r="H861" s="0" t="str">
        <f aca="false">IF(F861&lt;G861,"SI","NO")</f>
        <v>SI</v>
      </c>
    </row>
    <row r="862" customFormat="false" ht="15" hidden="false" customHeight="false" outlineLevel="0" collapsed="false">
      <c r="A862" s="0" t="s">
        <v>2286</v>
      </c>
      <c r="B862" s="0" t="s">
        <v>310</v>
      </c>
      <c r="C862" s="0" t="s">
        <v>398</v>
      </c>
      <c r="D862" s="2" t="s">
        <v>11</v>
      </c>
      <c r="E862" s="0" t="str">
        <f aca="false">VLOOKUP(D862,Fornitori!$A$2:$C$6,2,FALSE())</f>
        <v>Meccanica Bassi S.r.l.</v>
      </c>
      <c r="F862" s="0" t="n">
        <v>20</v>
      </c>
      <c r="G862" s="0" t="n">
        <v>17</v>
      </c>
      <c r="H862" s="0" t="str">
        <f aca="false">IF(F862&lt;G862,"SI","NO")</f>
        <v>NO</v>
      </c>
    </row>
    <row r="863" customFormat="false" ht="15" hidden="false" customHeight="false" outlineLevel="0" collapsed="false">
      <c r="A863" s="0" t="s">
        <v>2287</v>
      </c>
      <c r="B863" s="0" t="s">
        <v>573</v>
      </c>
      <c r="C863" s="0" t="s">
        <v>2288</v>
      </c>
      <c r="D863" s="2" t="s">
        <v>15</v>
      </c>
      <c r="E863" s="0" t="str">
        <f aca="false">VLOOKUP(D863,Fornitori!$A$2:$C$6,2,FALSE())</f>
        <v>Rulmeca Italia</v>
      </c>
      <c r="F863" s="0" t="n">
        <v>45</v>
      </c>
      <c r="G863" s="0" t="n">
        <v>15</v>
      </c>
      <c r="H863" s="0" t="str">
        <f aca="false">IF(F863&lt;G863,"SI","NO")</f>
        <v>NO</v>
      </c>
    </row>
    <row r="864" customFormat="false" ht="15" hidden="false" customHeight="false" outlineLevel="0" collapsed="false">
      <c r="A864" s="0" t="s">
        <v>2289</v>
      </c>
      <c r="B864" s="0" t="s">
        <v>2290</v>
      </c>
      <c r="C864" s="0" t="s">
        <v>2291</v>
      </c>
      <c r="D864" s="2" t="s">
        <v>19</v>
      </c>
      <c r="E864" s="0" t="str">
        <f aca="false">VLOOKUP(D864,Fornitori!$A$2:$C$6,2,FALSE())</f>
        <v>Elettrotecnica Ferri</v>
      </c>
      <c r="F864" s="0" t="n">
        <v>49</v>
      </c>
      <c r="G864" s="0" t="n">
        <v>9</v>
      </c>
      <c r="H864" s="0" t="str">
        <f aca="false">IF(F864&lt;G864,"SI","NO")</f>
        <v>NO</v>
      </c>
    </row>
    <row r="865" customFormat="false" ht="15" hidden="false" customHeight="false" outlineLevel="0" collapsed="false">
      <c r="A865" s="0" t="s">
        <v>2292</v>
      </c>
      <c r="B865" s="0" t="s">
        <v>2293</v>
      </c>
      <c r="C865" s="0" t="s">
        <v>2294</v>
      </c>
      <c r="D865" s="2" t="s">
        <v>23</v>
      </c>
      <c r="E865" s="0" t="str">
        <f aca="false">VLOOKUP(D865,Fornitori!$A$2:$C$6,2,FALSE())</f>
        <v>Pneumax Service</v>
      </c>
      <c r="F865" s="0" t="n">
        <v>50</v>
      </c>
      <c r="G865" s="0" t="n">
        <v>19</v>
      </c>
      <c r="H865" s="0" t="str">
        <f aca="false">IF(F865&lt;G865,"SI","NO")</f>
        <v>NO</v>
      </c>
    </row>
    <row r="866" customFormat="false" ht="15" hidden="false" customHeight="false" outlineLevel="0" collapsed="false">
      <c r="A866" s="0" t="s">
        <v>2295</v>
      </c>
      <c r="B866" s="0" t="s">
        <v>2296</v>
      </c>
      <c r="C866" s="0" t="s">
        <v>1511</v>
      </c>
      <c r="D866" s="2" t="s">
        <v>27</v>
      </c>
      <c r="E866" s="0" t="str">
        <f aca="false">VLOOKUP(D866,Fornitori!$A$2:$C$6,2,FALSE())</f>
        <v>Guarnizioni Alpi</v>
      </c>
      <c r="F866" s="0" t="n">
        <v>6</v>
      </c>
      <c r="G866" s="0" t="n">
        <v>8</v>
      </c>
      <c r="H866" s="0" t="str">
        <f aca="false">IF(F866&lt;G866,"SI","NO")</f>
        <v>SI</v>
      </c>
    </row>
    <row r="867" customFormat="false" ht="15" hidden="false" customHeight="false" outlineLevel="0" collapsed="false">
      <c r="A867" s="0" t="s">
        <v>2297</v>
      </c>
      <c r="B867" s="0" t="s">
        <v>2298</v>
      </c>
      <c r="C867" s="0" t="s">
        <v>2299</v>
      </c>
      <c r="D867" s="2" t="s">
        <v>11</v>
      </c>
      <c r="E867" s="0" t="str">
        <f aca="false">VLOOKUP(D867,Fornitori!$A$2:$C$6,2,FALSE())</f>
        <v>Meccanica Bassi S.r.l.</v>
      </c>
      <c r="F867" s="0" t="n">
        <v>4</v>
      </c>
      <c r="G867" s="0" t="n">
        <v>24</v>
      </c>
      <c r="H867" s="0" t="str">
        <f aca="false">IF(F867&lt;G867,"SI","NO")</f>
        <v>SI</v>
      </c>
    </row>
    <row r="868" customFormat="false" ht="15" hidden="false" customHeight="false" outlineLevel="0" collapsed="false">
      <c r="A868" s="0" t="s">
        <v>2300</v>
      </c>
      <c r="B868" s="0" t="s">
        <v>2301</v>
      </c>
      <c r="C868" s="0" t="s">
        <v>1560</v>
      </c>
      <c r="D868" s="2" t="s">
        <v>15</v>
      </c>
      <c r="E868" s="0" t="str">
        <f aca="false">VLOOKUP(D868,Fornitori!$A$2:$C$6,2,FALSE())</f>
        <v>Rulmeca Italia</v>
      </c>
      <c r="F868" s="0" t="n">
        <v>29</v>
      </c>
      <c r="G868" s="0" t="n">
        <v>17</v>
      </c>
      <c r="H868" s="0" t="str">
        <f aca="false">IF(F868&lt;G868,"SI","NO")</f>
        <v>NO</v>
      </c>
    </row>
    <row r="869" customFormat="false" ht="15" hidden="false" customHeight="false" outlineLevel="0" collapsed="false">
      <c r="A869" s="0" t="s">
        <v>2302</v>
      </c>
      <c r="B869" s="0" t="s">
        <v>2303</v>
      </c>
      <c r="C869" s="0" t="s">
        <v>1571</v>
      </c>
      <c r="D869" s="2" t="s">
        <v>19</v>
      </c>
      <c r="E869" s="0" t="str">
        <f aca="false">VLOOKUP(D869,Fornitori!$A$2:$C$6,2,FALSE())</f>
        <v>Elettrotecnica Ferri</v>
      </c>
      <c r="F869" s="0" t="n">
        <v>40</v>
      </c>
      <c r="G869" s="0" t="n">
        <v>23</v>
      </c>
      <c r="H869" s="0" t="str">
        <f aca="false">IF(F869&lt;G869,"SI","NO")</f>
        <v>NO</v>
      </c>
    </row>
    <row r="870" customFormat="false" ht="15" hidden="false" customHeight="false" outlineLevel="0" collapsed="false">
      <c r="A870" s="0" t="s">
        <v>2304</v>
      </c>
      <c r="B870" s="0" t="s">
        <v>2305</v>
      </c>
      <c r="C870" s="0" t="s">
        <v>2306</v>
      </c>
      <c r="D870" s="2" t="s">
        <v>23</v>
      </c>
      <c r="E870" s="0" t="str">
        <f aca="false">VLOOKUP(D870,Fornitori!$A$2:$C$6,2,FALSE())</f>
        <v>Pneumax Service</v>
      </c>
      <c r="F870" s="0" t="n">
        <v>19</v>
      </c>
      <c r="G870" s="0" t="n">
        <v>16</v>
      </c>
      <c r="H870" s="0" t="str">
        <f aca="false">IF(F870&lt;G870,"SI","NO")</f>
        <v>NO</v>
      </c>
    </row>
    <row r="871" customFormat="false" ht="15" hidden="false" customHeight="false" outlineLevel="0" collapsed="false">
      <c r="A871" s="0" t="s">
        <v>2307</v>
      </c>
      <c r="B871" s="0" t="s">
        <v>2308</v>
      </c>
      <c r="C871" s="0" t="s">
        <v>185</v>
      </c>
      <c r="D871" s="2" t="s">
        <v>27</v>
      </c>
      <c r="E871" s="0" t="str">
        <f aca="false">VLOOKUP(D871,Fornitori!$A$2:$C$6,2,FALSE())</f>
        <v>Guarnizioni Alpi</v>
      </c>
      <c r="F871" s="0" t="n">
        <v>26</v>
      </c>
      <c r="G871" s="0" t="n">
        <v>5</v>
      </c>
      <c r="H871" s="0" t="str">
        <f aca="false">IF(F871&lt;G871,"SI","NO")</f>
        <v>NO</v>
      </c>
    </row>
    <row r="872" customFormat="false" ht="15" hidden="false" customHeight="false" outlineLevel="0" collapsed="false">
      <c r="A872" s="0" t="s">
        <v>2309</v>
      </c>
      <c r="B872" s="0" t="s">
        <v>2310</v>
      </c>
      <c r="C872" s="0" t="s">
        <v>2311</v>
      </c>
      <c r="D872" s="2" t="s">
        <v>11</v>
      </c>
      <c r="E872" s="0" t="str">
        <f aca="false">VLOOKUP(D872,Fornitori!$A$2:$C$6,2,FALSE())</f>
        <v>Meccanica Bassi S.r.l.</v>
      </c>
      <c r="F872" s="0" t="n">
        <v>23</v>
      </c>
      <c r="G872" s="0" t="n">
        <v>8</v>
      </c>
      <c r="H872" s="0" t="str">
        <f aca="false">IF(F872&lt;G872,"SI","NO")</f>
        <v>NO</v>
      </c>
    </row>
    <row r="873" customFormat="false" ht="15" hidden="false" customHeight="false" outlineLevel="0" collapsed="false">
      <c r="A873" s="0" t="s">
        <v>2312</v>
      </c>
      <c r="B873" s="0" t="s">
        <v>2313</v>
      </c>
      <c r="C873" s="0" t="s">
        <v>2314</v>
      </c>
      <c r="D873" s="2" t="s">
        <v>15</v>
      </c>
      <c r="E873" s="0" t="str">
        <f aca="false">VLOOKUP(D873,Fornitori!$A$2:$C$6,2,FALSE())</f>
        <v>Rulmeca Italia</v>
      </c>
      <c r="F873" s="0" t="n">
        <v>8</v>
      </c>
      <c r="G873" s="0" t="n">
        <v>18</v>
      </c>
      <c r="H873" s="0" t="str">
        <f aca="false">IF(F873&lt;G873,"SI","NO")</f>
        <v>SI</v>
      </c>
    </row>
    <row r="874" customFormat="false" ht="15" hidden="false" customHeight="false" outlineLevel="0" collapsed="false">
      <c r="A874" s="0" t="s">
        <v>2315</v>
      </c>
      <c r="B874" s="0" t="s">
        <v>2316</v>
      </c>
      <c r="C874" s="0" t="s">
        <v>2317</v>
      </c>
      <c r="D874" s="2" t="s">
        <v>19</v>
      </c>
      <c r="E874" s="0" t="str">
        <f aca="false">VLOOKUP(D874,Fornitori!$A$2:$C$6,2,FALSE())</f>
        <v>Elettrotecnica Ferri</v>
      </c>
      <c r="F874" s="0" t="n">
        <v>47</v>
      </c>
      <c r="G874" s="0" t="n">
        <v>16</v>
      </c>
      <c r="H874" s="0" t="str">
        <f aca="false">IF(F874&lt;G874,"SI","NO")</f>
        <v>NO</v>
      </c>
    </row>
    <row r="875" customFormat="false" ht="15" hidden="false" customHeight="false" outlineLevel="0" collapsed="false">
      <c r="A875" s="0" t="s">
        <v>2318</v>
      </c>
      <c r="B875" s="0" t="s">
        <v>2319</v>
      </c>
      <c r="C875" s="0" t="s">
        <v>2299</v>
      </c>
      <c r="D875" s="2" t="s">
        <v>23</v>
      </c>
      <c r="E875" s="0" t="str">
        <f aca="false">VLOOKUP(D875,Fornitori!$A$2:$C$6,2,FALSE())</f>
        <v>Pneumax Service</v>
      </c>
      <c r="F875" s="0" t="n">
        <v>56</v>
      </c>
      <c r="G875" s="0" t="n">
        <v>18</v>
      </c>
      <c r="H875" s="0" t="str">
        <f aca="false">IF(F875&lt;G875,"SI","NO")</f>
        <v>NO</v>
      </c>
    </row>
    <row r="876" customFormat="false" ht="15" hidden="false" customHeight="false" outlineLevel="0" collapsed="false">
      <c r="A876" s="0" t="s">
        <v>2320</v>
      </c>
      <c r="B876" s="0" t="s">
        <v>1373</v>
      </c>
      <c r="C876" s="0" t="s">
        <v>2321</v>
      </c>
      <c r="D876" s="2" t="s">
        <v>27</v>
      </c>
      <c r="E876" s="0" t="str">
        <f aca="false">VLOOKUP(D876,Fornitori!$A$2:$C$6,2,FALSE())</f>
        <v>Guarnizioni Alpi</v>
      </c>
      <c r="F876" s="0" t="n">
        <v>20</v>
      </c>
      <c r="G876" s="0" t="n">
        <v>14</v>
      </c>
      <c r="H876" s="0" t="str">
        <f aca="false">IF(F876&lt;G876,"SI","NO")</f>
        <v>NO</v>
      </c>
    </row>
    <row r="877" customFormat="false" ht="15" hidden="false" customHeight="false" outlineLevel="0" collapsed="false">
      <c r="A877" s="0" t="s">
        <v>2322</v>
      </c>
      <c r="B877" s="0" t="s">
        <v>2323</v>
      </c>
      <c r="C877" s="0" t="s">
        <v>2324</v>
      </c>
      <c r="D877" s="2" t="s">
        <v>11</v>
      </c>
      <c r="E877" s="0" t="str">
        <f aca="false">VLOOKUP(D877,Fornitori!$A$2:$C$6,2,FALSE())</f>
        <v>Meccanica Bassi S.r.l.</v>
      </c>
      <c r="F877" s="0" t="n">
        <v>48</v>
      </c>
      <c r="G877" s="0" t="n">
        <v>21</v>
      </c>
      <c r="H877" s="0" t="str">
        <f aca="false">IF(F877&lt;G877,"SI","NO")</f>
        <v>NO</v>
      </c>
    </row>
    <row r="878" customFormat="false" ht="15" hidden="false" customHeight="false" outlineLevel="0" collapsed="false">
      <c r="A878" s="0" t="s">
        <v>2325</v>
      </c>
      <c r="B878" s="0" t="s">
        <v>2326</v>
      </c>
      <c r="C878" s="0" t="s">
        <v>2327</v>
      </c>
      <c r="D878" s="2" t="s">
        <v>15</v>
      </c>
      <c r="E878" s="0" t="str">
        <f aca="false">VLOOKUP(D878,Fornitori!$A$2:$C$6,2,FALSE())</f>
        <v>Rulmeca Italia</v>
      </c>
      <c r="F878" s="0" t="n">
        <v>53</v>
      </c>
      <c r="G878" s="0" t="n">
        <v>22</v>
      </c>
      <c r="H878" s="0" t="str">
        <f aca="false">IF(F878&lt;G878,"SI","NO")</f>
        <v>NO</v>
      </c>
    </row>
    <row r="879" customFormat="false" ht="15" hidden="false" customHeight="false" outlineLevel="0" collapsed="false">
      <c r="A879" s="0" t="s">
        <v>2328</v>
      </c>
      <c r="B879" s="0" t="s">
        <v>2329</v>
      </c>
      <c r="C879" s="0" t="s">
        <v>1710</v>
      </c>
      <c r="D879" s="2" t="s">
        <v>19</v>
      </c>
      <c r="E879" s="0" t="str">
        <f aca="false">VLOOKUP(D879,Fornitori!$A$2:$C$6,2,FALSE())</f>
        <v>Elettrotecnica Ferri</v>
      </c>
      <c r="F879" s="0" t="n">
        <v>56</v>
      </c>
      <c r="G879" s="0" t="n">
        <v>8</v>
      </c>
      <c r="H879" s="0" t="str">
        <f aca="false">IF(F879&lt;G879,"SI","NO")</f>
        <v>NO</v>
      </c>
    </row>
    <row r="880" customFormat="false" ht="15" hidden="false" customHeight="false" outlineLevel="0" collapsed="false">
      <c r="A880" s="0" t="s">
        <v>2330</v>
      </c>
      <c r="B880" s="0" t="s">
        <v>2331</v>
      </c>
      <c r="C880" s="0" t="s">
        <v>2221</v>
      </c>
      <c r="D880" s="2" t="s">
        <v>23</v>
      </c>
      <c r="E880" s="0" t="str">
        <f aca="false">VLOOKUP(D880,Fornitori!$A$2:$C$6,2,FALSE())</f>
        <v>Pneumax Service</v>
      </c>
      <c r="F880" s="0" t="n">
        <v>1</v>
      </c>
      <c r="G880" s="0" t="n">
        <v>21</v>
      </c>
      <c r="H880" s="0" t="str">
        <f aca="false">IF(F880&lt;G880,"SI","NO")</f>
        <v>SI</v>
      </c>
    </row>
    <row r="881" customFormat="false" ht="15" hidden="false" customHeight="false" outlineLevel="0" collapsed="false">
      <c r="A881" s="0" t="s">
        <v>2332</v>
      </c>
      <c r="B881" s="0" t="s">
        <v>1666</v>
      </c>
      <c r="C881" s="0" t="s">
        <v>2333</v>
      </c>
      <c r="D881" s="2" t="s">
        <v>27</v>
      </c>
      <c r="E881" s="0" t="str">
        <f aca="false">VLOOKUP(D881,Fornitori!$A$2:$C$6,2,FALSE())</f>
        <v>Guarnizioni Alpi</v>
      </c>
      <c r="F881" s="0" t="n">
        <v>13</v>
      </c>
      <c r="G881" s="0" t="n">
        <v>9</v>
      </c>
      <c r="H881" s="0" t="str">
        <f aca="false">IF(F881&lt;G881,"SI","NO")</f>
        <v>NO</v>
      </c>
    </row>
    <row r="882" customFormat="false" ht="15" hidden="false" customHeight="false" outlineLevel="0" collapsed="false">
      <c r="A882" s="0" t="s">
        <v>2334</v>
      </c>
      <c r="B882" s="0" t="s">
        <v>397</v>
      </c>
      <c r="C882" s="0" t="s">
        <v>2335</v>
      </c>
      <c r="D882" s="2" t="s">
        <v>11</v>
      </c>
      <c r="E882" s="0" t="str">
        <f aca="false">VLOOKUP(D882,Fornitori!$A$2:$C$6,2,FALSE())</f>
        <v>Meccanica Bassi S.r.l.</v>
      </c>
      <c r="F882" s="0" t="n">
        <v>8</v>
      </c>
      <c r="G882" s="0" t="n">
        <v>24</v>
      </c>
      <c r="H882" s="0" t="str">
        <f aca="false">IF(F882&lt;G882,"SI","NO")</f>
        <v>SI</v>
      </c>
    </row>
    <row r="883" customFormat="false" ht="15" hidden="false" customHeight="false" outlineLevel="0" collapsed="false">
      <c r="A883" s="0" t="s">
        <v>2336</v>
      </c>
      <c r="B883" s="0" t="s">
        <v>2337</v>
      </c>
      <c r="C883" s="0" t="s">
        <v>2338</v>
      </c>
      <c r="D883" s="2" t="s">
        <v>15</v>
      </c>
      <c r="E883" s="0" t="str">
        <f aca="false">VLOOKUP(D883,Fornitori!$A$2:$C$6,2,FALSE())</f>
        <v>Rulmeca Italia</v>
      </c>
      <c r="F883" s="0" t="n">
        <v>13</v>
      </c>
      <c r="G883" s="0" t="n">
        <v>21</v>
      </c>
      <c r="H883" s="0" t="str">
        <f aca="false">IF(F883&lt;G883,"SI","NO")</f>
        <v>SI</v>
      </c>
    </row>
    <row r="884" customFormat="false" ht="15" hidden="false" customHeight="false" outlineLevel="0" collapsed="false">
      <c r="A884" s="0" t="s">
        <v>2339</v>
      </c>
      <c r="B884" s="0" t="s">
        <v>2340</v>
      </c>
      <c r="C884" s="0" t="s">
        <v>1291</v>
      </c>
      <c r="D884" s="2" t="s">
        <v>19</v>
      </c>
      <c r="E884" s="0" t="str">
        <f aca="false">VLOOKUP(D884,Fornitori!$A$2:$C$6,2,FALSE())</f>
        <v>Elettrotecnica Ferri</v>
      </c>
      <c r="F884" s="0" t="n">
        <v>21</v>
      </c>
      <c r="G884" s="0" t="n">
        <v>10</v>
      </c>
      <c r="H884" s="0" t="str">
        <f aca="false">IF(F884&lt;G884,"SI","NO")</f>
        <v>NO</v>
      </c>
    </row>
    <row r="885" customFormat="false" ht="15" hidden="false" customHeight="false" outlineLevel="0" collapsed="false">
      <c r="A885" s="0" t="s">
        <v>2341</v>
      </c>
      <c r="B885" s="0" t="s">
        <v>2342</v>
      </c>
      <c r="C885" s="0" t="s">
        <v>2343</v>
      </c>
      <c r="D885" s="2" t="s">
        <v>23</v>
      </c>
      <c r="E885" s="0" t="str">
        <f aca="false">VLOOKUP(D885,Fornitori!$A$2:$C$6,2,FALSE())</f>
        <v>Pneumax Service</v>
      </c>
      <c r="F885" s="0" t="n">
        <v>52</v>
      </c>
      <c r="G885" s="0" t="n">
        <v>10</v>
      </c>
      <c r="H885" s="0" t="str">
        <f aca="false">IF(F885&lt;G885,"SI","NO")</f>
        <v>NO</v>
      </c>
    </row>
    <row r="886" customFormat="false" ht="15" hidden="false" customHeight="false" outlineLevel="0" collapsed="false">
      <c r="A886" s="0" t="s">
        <v>2344</v>
      </c>
      <c r="B886" s="0" t="s">
        <v>2345</v>
      </c>
      <c r="C886" s="0" t="s">
        <v>1854</v>
      </c>
      <c r="D886" s="2" t="s">
        <v>27</v>
      </c>
      <c r="E886" s="0" t="str">
        <f aca="false">VLOOKUP(D886,Fornitori!$A$2:$C$6,2,FALSE())</f>
        <v>Guarnizioni Alpi</v>
      </c>
      <c r="F886" s="0" t="n">
        <v>46</v>
      </c>
      <c r="G886" s="0" t="n">
        <v>8</v>
      </c>
      <c r="H886" s="0" t="str">
        <f aca="false">IF(F886&lt;G886,"SI","NO")</f>
        <v>NO</v>
      </c>
    </row>
    <row r="887" customFormat="false" ht="15" hidden="false" customHeight="false" outlineLevel="0" collapsed="false">
      <c r="A887" s="0" t="s">
        <v>2346</v>
      </c>
      <c r="B887" s="0" t="s">
        <v>2347</v>
      </c>
      <c r="C887" s="0" t="s">
        <v>1645</v>
      </c>
      <c r="D887" s="2" t="s">
        <v>11</v>
      </c>
      <c r="E887" s="0" t="str">
        <f aca="false">VLOOKUP(D887,Fornitori!$A$2:$C$6,2,FALSE())</f>
        <v>Meccanica Bassi S.r.l.</v>
      </c>
      <c r="F887" s="0" t="n">
        <v>53</v>
      </c>
      <c r="G887" s="0" t="n">
        <v>18</v>
      </c>
      <c r="H887" s="0" t="str">
        <f aca="false">IF(F887&lt;G887,"SI","NO")</f>
        <v>NO</v>
      </c>
    </row>
    <row r="888" customFormat="false" ht="15" hidden="false" customHeight="false" outlineLevel="0" collapsed="false">
      <c r="A888" s="0" t="s">
        <v>2348</v>
      </c>
      <c r="B888" s="0" t="s">
        <v>2349</v>
      </c>
      <c r="C888" s="0" t="s">
        <v>660</v>
      </c>
      <c r="D888" s="2" t="s">
        <v>15</v>
      </c>
      <c r="E888" s="0" t="str">
        <f aca="false">VLOOKUP(D888,Fornitori!$A$2:$C$6,2,FALSE())</f>
        <v>Rulmeca Italia</v>
      </c>
      <c r="F888" s="0" t="n">
        <v>5</v>
      </c>
      <c r="G888" s="0" t="n">
        <v>7</v>
      </c>
      <c r="H888" s="0" t="str">
        <f aca="false">IF(F888&lt;G888,"SI","NO")</f>
        <v>SI</v>
      </c>
    </row>
    <row r="889" customFormat="false" ht="15" hidden="false" customHeight="false" outlineLevel="0" collapsed="false">
      <c r="A889" s="0" t="s">
        <v>2350</v>
      </c>
      <c r="B889" s="0" t="s">
        <v>839</v>
      </c>
      <c r="C889" s="0" t="s">
        <v>2351</v>
      </c>
      <c r="D889" s="2" t="s">
        <v>19</v>
      </c>
      <c r="E889" s="0" t="str">
        <f aca="false">VLOOKUP(D889,Fornitori!$A$2:$C$6,2,FALSE())</f>
        <v>Elettrotecnica Ferri</v>
      </c>
      <c r="F889" s="0" t="n">
        <v>40</v>
      </c>
      <c r="G889" s="0" t="n">
        <v>11</v>
      </c>
      <c r="H889" s="0" t="str">
        <f aca="false">IF(F889&lt;G889,"SI","NO")</f>
        <v>NO</v>
      </c>
    </row>
    <row r="890" customFormat="false" ht="15" hidden="false" customHeight="false" outlineLevel="0" collapsed="false">
      <c r="A890" s="0" t="s">
        <v>2352</v>
      </c>
      <c r="B890" s="0" t="s">
        <v>2353</v>
      </c>
      <c r="C890" s="0" t="s">
        <v>2354</v>
      </c>
      <c r="D890" s="2" t="s">
        <v>23</v>
      </c>
      <c r="E890" s="0" t="str">
        <f aca="false">VLOOKUP(D890,Fornitori!$A$2:$C$6,2,FALSE())</f>
        <v>Pneumax Service</v>
      </c>
      <c r="F890" s="0" t="n">
        <v>10</v>
      </c>
      <c r="G890" s="0" t="n">
        <v>18</v>
      </c>
      <c r="H890" s="0" t="str">
        <f aca="false">IF(F890&lt;G890,"SI","NO")</f>
        <v>SI</v>
      </c>
    </row>
    <row r="891" customFormat="false" ht="15" hidden="false" customHeight="false" outlineLevel="0" collapsed="false">
      <c r="A891" s="0" t="s">
        <v>2355</v>
      </c>
      <c r="B891" s="0" t="s">
        <v>2052</v>
      </c>
      <c r="C891" s="0" t="s">
        <v>2356</v>
      </c>
      <c r="D891" s="2" t="s">
        <v>27</v>
      </c>
      <c r="E891" s="0" t="str">
        <f aca="false">VLOOKUP(D891,Fornitori!$A$2:$C$6,2,FALSE())</f>
        <v>Guarnizioni Alpi</v>
      </c>
      <c r="F891" s="0" t="n">
        <v>10</v>
      </c>
      <c r="G891" s="0" t="n">
        <v>11</v>
      </c>
      <c r="H891" s="0" t="str">
        <f aca="false">IF(F891&lt;G891,"SI","NO")</f>
        <v>SI</v>
      </c>
    </row>
    <row r="892" customFormat="false" ht="15" hidden="false" customHeight="false" outlineLevel="0" collapsed="false">
      <c r="A892" s="0" t="s">
        <v>2357</v>
      </c>
      <c r="B892" s="0" t="s">
        <v>2358</v>
      </c>
      <c r="C892" s="0" t="s">
        <v>1854</v>
      </c>
      <c r="D892" s="2" t="s">
        <v>11</v>
      </c>
      <c r="E892" s="0" t="str">
        <f aca="false">VLOOKUP(D892,Fornitori!$A$2:$C$6,2,FALSE())</f>
        <v>Meccanica Bassi S.r.l.</v>
      </c>
      <c r="F892" s="0" t="n">
        <v>20</v>
      </c>
      <c r="G892" s="0" t="n">
        <v>8</v>
      </c>
      <c r="H892" s="0" t="str">
        <f aca="false">IF(F892&lt;G892,"SI","NO")</f>
        <v>NO</v>
      </c>
    </row>
    <row r="893" customFormat="false" ht="15" hidden="false" customHeight="false" outlineLevel="0" collapsed="false">
      <c r="A893" s="0" t="s">
        <v>2359</v>
      </c>
      <c r="B893" s="0" t="s">
        <v>2360</v>
      </c>
      <c r="C893" s="0" t="s">
        <v>2361</v>
      </c>
      <c r="D893" s="2" t="s">
        <v>15</v>
      </c>
      <c r="E893" s="0" t="str">
        <f aca="false">VLOOKUP(D893,Fornitori!$A$2:$C$6,2,FALSE())</f>
        <v>Rulmeca Italia</v>
      </c>
      <c r="F893" s="0" t="n">
        <v>28</v>
      </c>
      <c r="G893" s="0" t="n">
        <v>23</v>
      </c>
      <c r="H893" s="0" t="str">
        <f aca="false">IF(F893&lt;G893,"SI","NO")</f>
        <v>NO</v>
      </c>
    </row>
    <row r="894" customFormat="false" ht="15" hidden="false" customHeight="false" outlineLevel="0" collapsed="false">
      <c r="A894" s="0" t="s">
        <v>2362</v>
      </c>
      <c r="B894" s="0" t="s">
        <v>2363</v>
      </c>
      <c r="C894" s="0" t="s">
        <v>179</v>
      </c>
      <c r="D894" s="2" t="s">
        <v>19</v>
      </c>
      <c r="E894" s="0" t="str">
        <f aca="false">VLOOKUP(D894,Fornitori!$A$2:$C$6,2,FALSE())</f>
        <v>Elettrotecnica Ferri</v>
      </c>
      <c r="F894" s="0" t="n">
        <v>12</v>
      </c>
      <c r="G894" s="0" t="n">
        <v>20</v>
      </c>
      <c r="H894" s="0" t="str">
        <f aca="false">IF(F894&lt;G894,"SI","NO")</f>
        <v>SI</v>
      </c>
    </row>
    <row r="895" customFormat="false" ht="15" hidden="false" customHeight="false" outlineLevel="0" collapsed="false">
      <c r="A895" s="0" t="s">
        <v>2364</v>
      </c>
      <c r="B895" s="0" t="s">
        <v>2365</v>
      </c>
      <c r="C895" s="0" t="s">
        <v>2366</v>
      </c>
      <c r="D895" s="2" t="s">
        <v>23</v>
      </c>
      <c r="E895" s="0" t="str">
        <f aca="false">VLOOKUP(D895,Fornitori!$A$2:$C$6,2,FALSE())</f>
        <v>Pneumax Service</v>
      </c>
      <c r="F895" s="0" t="n">
        <v>22</v>
      </c>
      <c r="G895" s="0" t="n">
        <v>17</v>
      </c>
      <c r="H895" s="0" t="str">
        <f aca="false">IF(F895&lt;G895,"SI","NO")</f>
        <v>NO</v>
      </c>
    </row>
    <row r="896" customFormat="false" ht="15" hidden="false" customHeight="false" outlineLevel="0" collapsed="false">
      <c r="A896" s="0" t="s">
        <v>2367</v>
      </c>
      <c r="B896" s="0" t="s">
        <v>1608</v>
      </c>
      <c r="C896" s="0" t="s">
        <v>2368</v>
      </c>
      <c r="D896" s="2" t="s">
        <v>27</v>
      </c>
      <c r="E896" s="0" t="str">
        <f aca="false">VLOOKUP(D896,Fornitori!$A$2:$C$6,2,FALSE())</f>
        <v>Guarnizioni Alpi</v>
      </c>
      <c r="F896" s="0" t="n">
        <v>27</v>
      </c>
      <c r="G896" s="0" t="n">
        <v>15</v>
      </c>
      <c r="H896" s="0" t="str">
        <f aca="false">IF(F896&lt;G896,"SI","NO")</f>
        <v>NO</v>
      </c>
    </row>
    <row r="897" customFormat="false" ht="15" hidden="false" customHeight="false" outlineLevel="0" collapsed="false">
      <c r="A897" s="0" t="s">
        <v>2369</v>
      </c>
      <c r="B897" s="0" t="s">
        <v>2370</v>
      </c>
      <c r="C897" s="0" t="s">
        <v>2371</v>
      </c>
      <c r="D897" s="2" t="s">
        <v>11</v>
      </c>
      <c r="E897" s="0" t="str">
        <f aca="false">VLOOKUP(D897,Fornitori!$A$2:$C$6,2,FALSE())</f>
        <v>Meccanica Bassi S.r.l.</v>
      </c>
      <c r="F897" s="0" t="n">
        <v>29</v>
      </c>
      <c r="G897" s="0" t="n">
        <v>23</v>
      </c>
      <c r="H897" s="0" t="str">
        <f aca="false">IF(F897&lt;G897,"SI","NO")</f>
        <v>NO</v>
      </c>
    </row>
    <row r="898" customFormat="false" ht="15" hidden="false" customHeight="false" outlineLevel="0" collapsed="false">
      <c r="A898" s="0" t="s">
        <v>2372</v>
      </c>
      <c r="B898" s="0" t="s">
        <v>2373</v>
      </c>
      <c r="C898" s="0" t="s">
        <v>2374</v>
      </c>
      <c r="D898" s="2" t="s">
        <v>15</v>
      </c>
      <c r="E898" s="0" t="str">
        <f aca="false">VLOOKUP(D898,Fornitori!$A$2:$C$6,2,FALSE())</f>
        <v>Rulmeca Italia</v>
      </c>
      <c r="F898" s="0" t="n">
        <v>40</v>
      </c>
      <c r="G898" s="0" t="n">
        <v>17</v>
      </c>
      <c r="H898" s="0" t="str">
        <f aca="false">IF(F898&lt;G898,"SI","NO")</f>
        <v>NO</v>
      </c>
    </row>
    <row r="899" customFormat="false" ht="15" hidden="false" customHeight="false" outlineLevel="0" collapsed="false">
      <c r="A899" s="0" t="s">
        <v>2375</v>
      </c>
      <c r="B899" s="0" t="s">
        <v>2376</v>
      </c>
      <c r="C899" s="0" t="s">
        <v>1159</v>
      </c>
      <c r="D899" s="2" t="s">
        <v>19</v>
      </c>
      <c r="E899" s="0" t="str">
        <f aca="false">VLOOKUP(D899,Fornitori!$A$2:$C$6,2,FALSE())</f>
        <v>Elettrotecnica Ferri</v>
      </c>
      <c r="F899" s="0" t="n">
        <v>41</v>
      </c>
      <c r="G899" s="0" t="n">
        <v>5</v>
      </c>
      <c r="H899" s="0" t="str">
        <f aca="false">IF(F899&lt;G899,"SI","NO")</f>
        <v>NO</v>
      </c>
    </row>
    <row r="900" customFormat="false" ht="15" hidden="false" customHeight="false" outlineLevel="0" collapsed="false">
      <c r="A900" s="0" t="s">
        <v>2377</v>
      </c>
      <c r="B900" s="0" t="s">
        <v>2378</v>
      </c>
      <c r="C900" s="0" t="s">
        <v>2379</v>
      </c>
      <c r="D900" s="2" t="s">
        <v>23</v>
      </c>
      <c r="E900" s="0" t="str">
        <f aca="false">VLOOKUP(D900,Fornitori!$A$2:$C$6,2,FALSE())</f>
        <v>Pneumax Service</v>
      </c>
      <c r="F900" s="0" t="n">
        <v>25</v>
      </c>
      <c r="G900" s="0" t="n">
        <v>15</v>
      </c>
      <c r="H900" s="0" t="str">
        <f aca="false">IF(F900&lt;G900,"SI","NO")</f>
        <v>NO</v>
      </c>
    </row>
    <row r="901" customFormat="false" ht="15" hidden="false" customHeight="false" outlineLevel="0" collapsed="false">
      <c r="A901" s="0" t="s">
        <v>2380</v>
      </c>
      <c r="B901" s="0" t="s">
        <v>2381</v>
      </c>
      <c r="C901" s="0" t="s">
        <v>2382</v>
      </c>
      <c r="D901" s="2" t="s">
        <v>27</v>
      </c>
      <c r="E901" s="0" t="str">
        <f aca="false">VLOOKUP(D901,Fornitori!$A$2:$C$6,2,FALSE())</f>
        <v>Guarnizioni Alpi</v>
      </c>
      <c r="F901" s="0" t="n">
        <v>25</v>
      </c>
      <c r="G901" s="0" t="n">
        <v>10</v>
      </c>
      <c r="H901" s="0" t="str">
        <f aca="false">IF(F901&lt;G901,"SI","NO")</f>
        <v>NO</v>
      </c>
    </row>
    <row r="902" customFormat="false" ht="15" hidden="false" customHeight="false" outlineLevel="0" collapsed="false">
      <c r="A902" s="0" t="s">
        <v>2383</v>
      </c>
      <c r="B902" s="0" t="s">
        <v>2384</v>
      </c>
      <c r="C902" s="0" t="s">
        <v>2385</v>
      </c>
      <c r="D902" s="2" t="s">
        <v>11</v>
      </c>
      <c r="E902" s="0" t="str">
        <f aca="false">VLOOKUP(D902,Fornitori!$A$2:$C$6,2,FALSE())</f>
        <v>Meccanica Bassi S.r.l.</v>
      </c>
      <c r="F902" s="0" t="n">
        <v>20</v>
      </c>
      <c r="G902" s="0" t="n">
        <v>20</v>
      </c>
      <c r="H902" s="0" t="str">
        <f aca="false">IF(F902&lt;G902,"SI","NO")</f>
        <v>NO</v>
      </c>
    </row>
    <row r="903" customFormat="false" ht="15" hidden="false" customHeight="false" outlineLevel="0" collapsed="false">
      <c r="A903" s="0" t="s">
        <v>2386</v>
      </c>
      <c r="B903" s="0" t="s">
        <v>2387</v>
      </c>
      <c r="C903" s="0" t="s">
        <v>2388</v>
      </c>
      <c r="D903" s="2" t="s">
        <v>15</v>
      </c>
      <c r="E903" s="0" t="str">
        <f aca="false">VLOOKUP(D903,Fornitori!$A$2:$C$6,2,FALSE())</f>
        <v>Rulmeca Italia</v>
      </c>
      <c r="F903" s="0" t="n">
        <v>57</v>
      </c>
      <c r="G903" s="0" t="n">
        <v>5</v>
      </c>
      <c r="H903" s="0" t="str">
        <f aca="false">IF(F903&lt;G903,"SI","NO")</f>
        <v>NO</v>
      </c>
    </row>
    <row r="904" customFormat="false" ht="15" hidden="false" customHeight="false" outlineLevel="0" collapsed="false">
      <c r="A904" s="0" t="s">
        <v>2389</v>
      </c>
      <c r="B904" s="0" t="s">
        <v>258</v>
      </c>
      <c r="C904" s="0" t="s">
        <v>2390</v>
      </c>
      <c r="D904" s="2" t="s">
        <v>19</v>
      </c>
      <c r="E904" s="0" t="str">
        <f aca="false">VLOOKUP(D904,Fornitori!$A$2:$C$6,2,FALSE())</f>
        <v>Elettrotecnica Ferri</v>
      </c>
      <c r="F904" s="0" t="n">
        <v>7</v>
      </c>
      <c r="G904" s="0" t="n">
        <v>15</v>
      </c>
      <c r="H904" s="0" t="str">
        <f aca="false">IF(F904&lt;G904,"SI","NO")</f>
        <v>SI</v>
      </c>
    </row>
    <row r="905" customFormat="false" ht="15" hidden="false" customHeight="false" outlineLevel="0" collapsed="false">
      <c r="A905" s="0" t="s">
        <v>2391</v>
      </c>
      <c r="B905" s="0" t="s">
        <v>2392</v>
      </c>
      <c r="C905" s="0" t="s">
        <v>705</v>
      </c>
      <c r="D905" s="2" t="s">
        <v>23</v>
      </c>
      <c r="E905" s="0" t="str">
        <f aca="false">VLOOKUP(D905,Fornitori!$A$2:$C$6,2,FALSE())</f>
        <v>Pneumax Service</v>
      </c>
      <c r="F905" s="0" t="n">
        <v>51</v>
      </c>
      <c r="G905" s="0" t="n">
        <v>17</v>
      </c>
      <c r="H905" s="0" t="str">
        <f aca="false">IF(F905&lt;G905,"SI","NO")</f>
        <v>NO</v>
      </c>
    </row>
    <row r="906" customFormat="false" ht="15" hidden="false" customHeight="false" outlineLevel="0" collapsed="false">
      <c r="A906" s="0" t="s">
        <v>2393</v>
      </c>
      <c r="B906" s="0" t="s">
        <v>2394</v>
      </c>
      <c r="C906" s="0" t="s">
        <v>2395</v>
      </c>
      <c r="D906" s="2" t="s">
        <v>27</v>
      </c>
      <c r="E906" s="0" t="str">
        <f aca="false">VLOOKUP(D906,Fornitori!$A$2:$C$6,2,FALSE())</f>
        <v>Guarnizioni Alpi</v>
      </c>
      <c r="F906" s="0" t="n">
        <v>21</v>
      </c>
      <c r="G906" s="0" t="n">
        <v>14</v>
      </c>
      <c r="H906" s="0" t="str">
        <f aca="false">IF(F906&lt;G906,"SI","NO")</f>
        <v>NO</v>
      </c>
    </row>
    <row r="907" customFormat="false" ht="15" hidden="false" customHeight="false" outlineLevel="0" collapsed="false">
      <c r="A907" s="0" t="s">
        <v>2396</v>
      </c>
      <c r="B907" s="0" t="s">
        <v>1030</v>
      </c>
      <c r="C907" s="0" t="s">
        <v>484</v>
      </c>
      <c r="D907" s="2" t="s">
        <v>11</v>
      </c>
      <c r="E907" s="0" t="str">
        <f aca="false">VLOOKUP(D907,Fornitori!$A$2:$C$6,2,FALSE())</f>
        <v>Meccanica Bassi S.r.l.</v>
      </c>
      <c r="F907" s="0" t="n">
        <v>12</v>
      </c>
      <c r="G907" s="0" t="n">
        <v>11</v>
      </c>
      <c r="H907" s="0" t="str">
        <f aca="false">IF(F907&lt;G907,"SI","NO")</f>
        <v>NO</v>
      </c>
    </row>
    <row r="908" customFormat="false" ht="15" hidden="false" customHeight="false" outlineLevel="0" collapsed="false">
      <c r="A908" s="0" t="s">
        <v>2397</v>
      </c>
      <c r="B908" s="0" t="s">
        <v>2398</v>
      </c>
      <c r="C908" s="0" t="s">
        <v>2399</v>
      </c>
      <c r="D908" s="2" t="s">
        <v>15</v>
      </c>
      <c r="E908" s="0" t="str">
        <f aca="false">VLOOKUP(D908,Fornitori!$A$2:$C$6,2,FALSE())</f>
        <v>Rulmeca Italia</v>
      </c>
      <c r="F908" s="0" t="n">
        <v>14</v>
      </c>
      <c r="G908" s="0" t="n">
        <v>6</v>
      </c>
      <c r="H908" s="0" t="str">
        <f aca="false">IF(F908&lt;G908,"SI","NO")</f>
        <v>NO</v>
      </c>
    </row>
    <row r="909" customFormat="false" ht="15" hidden="false" customHeight="false" outlineLevel="0" collapsed="false">
      <c r="A909" s="0" t="s">
        <v>2400</v>
      </c>
      <c r="B909" s="0" t="s">
        <v>2401</v>
      </c>
      <c r="C909" s="0" t="s">
        <v>290</v>
      </c>
      <c r="D909" s="2" t="s">
        <v>19</v>
      </c>
      <c r="E909" s="0" t="str">
        <f aca="false">VLOOKUP(D909,Fornitori!$A$2:$C$6,2,FALSE())</f>
        <v>Elettrotecnica Ferri</v>
      </c>
      <c r="F909" s="0" t="n">
        <v>58</v>
      </c>
      <c r="G909" s="0" t="n">
        <v>8</v>
      </c>
      <c r="H909" s="0" t="str">
        <f aca="false">IF(F909&lt;G909,"SI","NO")</f>
        <v>NO</v>
      </c>
    </row>
    <row r="910" customFormat="false" ht="15" hidden="false" customHeight="false" outlineLevel="0" collapsed="false">
      <c r="A910" s="0" t="s">
        <v>2402</v>
      </c>
      <c r="B910" s="0" t="s">
        <v>2403</v>
      </c>
      <c r="C910" s="0" t="s">
        <v>2404</v>
      </c>
      <c r="D910" s="2" t="s">
        <v>23</v>
      </c>
      <c r="E910" s="0" t="str">
        <f aca="false">VLOOKUP(D910,Fornitori!$A$2:$C$6,2,FALSE())</f>
        <v>Pneumax Service</v>
      </c>
      <c r="F910" s="0" t="n">
        <v>53</v>
      </c>
      <c r="G910" s="0" t="n">
        <v>11</v>
      </c>
      <c r="H910" s="0" t="str">
        <f aca="false">IF(F910&lt;G910,"SI","NO")</f>
        <v>NO</v>
      </c>
    </row>
    <row r="911" customFormat="false" ht="15" hidden="false" customHeight="false" outlineLevel="0" collapsed="false">
      <c r="A911" s="0" t="s">
        <v>2405</v>
      </c>
      <c r="B911" s="0" t="s">
        <v>2406</v>
      </c>
      <c r="C911" s="0" t="s">
        <v>2407</v>
      </c>
      <c r="D911" s="2" t="s">
        <v>27</v>
      </c>
      <c r="E911" s="0" t="str">
        <f aca="false">VLOOKUP(D911,Fornitori!$A$2:$C$6,2,FALSE())</f>
        <v>Guarnizioni Alpi</v>
      </c>
      <c r="F911" s="0" t="n">
        <v>40</v>
      </c>
      <c r="G911" s="0" t="n">
        <v>10</v>
      </c>
      <c r="H911" s="0" t="str">
        <f aca="false">IF(F911&lt;G911,"SI","NO")</f>
        <v>NO</v>
      </c>
    </row>
    <row r="912" customFormat="false" ht="15" hidden="false" customHeight="false" outlineLevel="0" collapsed="false">
      <c r="A912" s="0" t="s">
        <v>2408</v>
      </c>
      <c r="B912" s="0" t="s">
        <v>2409</v>
      </c>
      <c r="C912" s="0" t="s">
        <v>966</v>
      </c>
      <c r="D912" s="2" t="s">
        <v>11</v>
      </c>
      <c r="E912" s="0" t="str">
        <f aca="false">VLOOKUP(D912,Fornitori!$A$2:$C$6,2,FALSE())</f>
        <v>Meccanica Bassi S.r.l.</v>
      </c>
      <c r="F912" s="0" t="n">
        <v>10</v>
      </c>
      <c r="G912" s="0" t="n">
        <v>8</v>
      </c>
      <c r="H912" s="0" t="str">
        <f aca="false">IF(F912&lt;G912,"SI","NO")</f>
        <v>NO</v>
      </c>
    </row>
    <row r="913" customFormat="false" ht="15" hidden="false" customHeight="false" outlineLevel="0" collapsed="false">
      <c r="A913" s="0" t="s">
        <v>2410</v>
      </c>
      <c r="B913" s="0" t="s">
        <v>628</v>
      </c>
      <c r="C913" s="0" t="s">
        <v>2237</v>
      </c>
      <c r="D913" s="2" t="s">
        <v>15</v>
      </c>
      <c r="E913" s="0" t="str">
        <f aca="false">VLOOKUP(D913,Fornitori!$A$2:$C$6,2,FALSE())</f>
        <v>Rulmeca Italia</v>
      </c>
      <c r="F913" s="0" t="n">
        <v>40</v>
      </c>
      <c r="G913" s="0" t="n">
        <v>10</v>
      </c>
      <c r="H913" s="0" t="str">
        <f aca="false">IF(F913&lt;G913,"SI","NO")</f>
        <v>NO</v>
      </c>
    </row>
    <row r="914" customFormat="false" ht="15" hidden="false" customHeight="false" outlineLevel="0" collapsed="false">
      <c r="A914" s="0" t="s">
        <v>2411</v>
      </c>
      <c r="B914" s="0" t="s">
        <v>2412</v>
      </c>
      <c r="C914" s="0" t="s">
        <v>2413</v>
      </c>
      <c r="D914" s="2" t="s">
        <v>19</v>
      </c>
      <c r="E914" s="0" t="str">
        <f aca="false">VLOOKUP(D914,Fornitori!$A$2:$C$6,2,FALSE())</f>
        <v>Elettrotecnica Ferri</v>
      </c>
      <c r="F914" s="0" t="n">
        <v>12</v>
      </c>
      <c r="G914" s="0" t="n">
        <v>24</v>
      </c>
      <c r="H914" s="0" t="str">
        <f aca="false">IF(F914&lt;G914,"SI","NO")</f>
        <v>SI</v>
      </c>
    </row>
    <row r="915" customFormat="false" ht="15" hidden="false" customHeight="false" outlineLevel="0" collapsed="false">
      <c r="A915" s="0" t="s">
        <v>2414</v>
      </c>
      <c r="B915" s="0" t="s">
        <v>2415</v>
      </c>
      <c r="C915" s="0" t="s">
        <v>2416</v>
      </c>
      <c r="D915" s="2" t="s">
        <v>23</v>
      </c>
      <c r="E915" s="0" t="str">
        <f aca="false">VLOOKUP(D915,Fornitori!$A$2:$C$6,2,FALSE())</f>
        <v>Pneumax Service</v>
      </c>
      <c r="F915" s="0" t="n">
        <v>54</v>
      </c>
      <c r="G915" s="0" t="n">
        <v>18</v>
      </c>
      <c r="H915" s="0" t="str">
        <f aca="false">IF(F915&lt;G915,"SI","NO")</f>
        <v>NO</v>
      </c>
    </row>
    <row r="916" customFormat="false" ht="15" hidden="false" customHeight="false" outlineLevel="0" collapsed="false">
      <c r="A916" s="0" t="s">
        <v>2417</v>
      </c>
      <c r="B916" s="0" t="s">
        <v>2418</v>
      </c>
      <c r="C916" s="0" t="s">
        <v>39</v>
      </c>
      <c r="D916" s="2" t="s">
        <v>27</v>
      </c>
      <c r="E916" s="0" t="str">
        <f aca="false">VLOOKUP(D916,Fornitori!$A$2:$C$6,2,FALSE())</f>
        <v>Guarnizioni Alpi</v>
      </c>
      <c r="F916" s="0" t="n">
        <v>14</v>
      </c>
      <c r="G916" s="0" t="n">
        <v>20</v>
      </c>
      <c r="H916" s="0" t="str">
        <f aca="false">IF(F916&lt;G916,"SI","NO")</f>
        <v>SI</v>
      </c>
    </row>
    <row r="917" customFormat="false" ht="15" hidden="false" customHeight="false" outlineLevel="0" collapsed="false">
      <c r="A917" s="0" t="s">
        <v>2419</v>
      </c>
      <c r="B917" s="0" t="s">
        <v>2179</v>
      </c>
      <c r="C917" s="0" t="s">
        <v>2420</v>
      </c>
      <c r="D917" s="2" t="s">
        <v>11</v>
      </c>
      <c r="E917" s="0" t="str">
        <f aca="false">VLOOKUP(D917,Fornitori!$A$2:$C$6,2,FALSE())</f>
        <v>Meccanica Bassi S.r.l.</v>
      </c>
      <c r="F917" s="0" t="n">
        <v>57</v>
      </c>
      <c r="G917" s="0" t="n">
        <v>9</v>
      </c>
      <c r="H917" s="0" t="str">
        <f aca="false">IF(F917&lt;G917,"SI","NO")</f>
        <v>NO</v>
      </c>
    </row>
    <row r="918" customFormat="false" ht="15" hidden="false" customHeight="false" outlineLevel="0" collapsed="false">
      <c r="A918" s="0" t="s">
        <v>2421</v>
      </c>
      <c r="B918" s="0" t="s">
        <v>2422</v>
      </c>
      <c r="C918" s="0" t="s">
        <v>711</v>
      </c>
      <c r="D918" s="2" t="s">
        <v>15</v>
      </c>
      <c r="E918" s="0" t="str">
        <f aca="false">VLOOKUP(D918,Fornitori!$A$2:$C$6,2,FALSE())</f>
        <v>Rulmeca Italia</v>
      </c>
      <c r="F918" s="0" t="n">
        <v>39</v>
      </c>
      <c r="G918" s="0" t="n">
        <v>6</v>
      </c>
      <c r="H918" s="0" t="str">
        <f aca="false">IF(F918&lt;G918,"SI","NO")</f>
        <v>NO</v>
      </c>
    </row>
    <row r="919" customFormat="false" ht="15" hidden="false" customHeight="false" outlineLevel="0" collapsed="false">
      <c r="A919" s="0" t="s">
        <v>2423</v>
      </c>
      <c r="B919" s="0" t="s">
        <v>2424</v>
      </c>
      <c r="C919" s="0" t="s">
        <v>2087</v>
      </c>
      <c r="D919" s="2" t="s">
        <v>19</v>
      </c>
      <c r="E919" s="0" t="str">
        <f aca="false">VLOOKUP(D919,Fornitori!$A$2:$C$6,2,FALSE())</f>
        <v>Elettrotecnica Ferri</v>
      </c>
      <c r="F919" s="0" t="n">
        <v>56</v>
      </c>
      <c r="G919" s="0" t="n">
        <v>5</v>
      </c>
      <c r="H919" s="0" t="str">
        <f aca="false">IF(F919&lt;G919,"SI","NO")</f>
        <v>NO</v>
      </c>
    </row>
    <row r="920" customFormat="false" ht="15" hidden="false" customHeight="false" outlineLevel="0" collapsed="false">
      <c r="A920" s="0" t="s">
        <v>2425</v>
      </c>
      <c r="B920" s="0" t="s">
        <v>2426</v>
      </c>
      <c r="C920" s="0" t="s">
        <v>2427</v>
      </c>
      <c r="D920" s="2" t="s">
        <v>23</v>
      </c>
      <c r="E920" s="0" t="str">
        <f aca="false">VLOOKUP(D920,Fornitori!$A$2:$C$6,2,FALSE())</f>
        <v>Pneumax Service</v>
      </c>
      <c r="F920" s="0" t="n">
        <v>55</v>
      </c>
      <c r="G920" s="0" t="n">
        <v>6</v>
      </c>
      <c r="H920" s="0" t="str">
        <f aca="false">IF(F920&lt;G920,"SI","NO")</f>
        <v>NO</v>
      </c>
    </row>
    <row r="921" customFormat="false" ht="15" hidden="false" customHeight="false" outlineLevel="0" collapsed="false">
      <c r="A921" s="0" t="s">
        <v>2428</v>
      </c>
      <c r="B921" s="0" t="s">
        <v>2429</v>
      </c>
      <c r="C921" s="0" t="s">
        <v>2430</v>
      </c>
      <c r="D921" s="2" t="s">
        <v>27</v>
      </c>
      <c r="E921" s="0" t="str">
        <f aca="false">VLOOKUP(D921,Fornitori!$A$2:$C$6,2,FALSE())</f>
        <v>Guarnizioni Alpi</v>
      </c>
      <c r="F921" s="0" t="n">
        <v>10</v>
      </c>
      <c r="G921" s="0" t="n">
        <v>5</v>
      </c>
      <c r="H921" s="0" t="str">
        <f aca="false">IF(F921&lt;G921,"SI","NO")</f>
        <v>NO</v>
      </c>
    </row>
    <row r="922" customFormat="false" ht="15" hidden="false" customHeight="false" outlineLevel="0" collapsed="false">
      <c r="A922" s="0" t="s">
        <v>2431</v>
      </c>
      <c r="B922" s="0" t="s">
        <v>2432</v>
      </c>
      <c r="C922" s="0" t="s">
        <v>1985</v>
      </c>
      <c r="D922" s="2" t="s">
        <v>11</v>
      </c>
      <c r="E922" s="0" t="str">
        <f aca="false">VLOOKUP(D922,Fornitori!$A$2:$C$6,2,FALSE())</f>
        <v>Meccanica Bassi S.r.l.</v>
      </c>
      <c r="F922" s="0" t="n">
        <v>12</v>
      </c>
      <c r="G922" s="0" t="n">
        <v>23</v>
      </c>
      <c r="H922" s="0" t="str">
        <f aca="false">IF(F922&lt;G922,"SI","NO")</f>
        <v>SI</v>
      </c>
    </row>
    <row r="923" customFormat="false" ht="15" hidden="false" customHeight="false" outlineLevel="0" collapsed="false">
      <c r="A923" s="0" t="s">
        <v>2433</v>
      </c>
      <c r="B923" s="0" t="s">
        <v>2171</v>
      </c>
      <c r="C923" s="0" t="s">
        <v>2434</v>
      </c>
      <c r="D923" s="2" t="s">
        <v>15</v>
      </c>
      <c r="E923" s="0" t="str">
        <f aca="false">VLOOKUP(D923,Fornitori!$A$2:$C$6,2,FALSE())</f>
        <v>Rulmeca Italia</v>
      </c>
      <c r="F923" s="0" t="n">
        <v>37</v>
      </c>
      <c r="G923" s="0" t="n">
        <v>24</v>
      </c>
      <c r="H923" s="0" t="str">
        <f aca="false">IF(F923&lt;G923,"SI","NO")</f>
        <v>NO</v>
      </c>
    </row>
    <row r="924" customFormat="false" ht="15" hidden="false" customHeight="false" outlineLevel="0" collapsed="false">
      <c r="A924" s="0" t="s">
        <v>2435</v>
      </c>
      <c r="B924" s="0" t="s">
        <v>603</v>
      </c>
      <c r="C924" s="0" t="s">
        <v>2142</v>
      </c>
      <c r="D924" s="2" t="s">
        <v>19</v>
      </c>
      <c r="E924" s="0" t="str">
        <f aca="false">VLOOKUP(D924,Fornitori!$A$2:$C$6,2,FALSE())</f>
        <v>Elettrotecnica Ferri</v>
      </c>
      <c r="F924" s="0" t="n">
        <v>57</v>
      </c>
      <c r="G924" s="0" t="n">
        <v>11</v>
      </c>
      <c r="H924" s="0" t="str">
        <f aca="false">IF(F924&lt;G924,"SI","NO")</f>
        <v>NO</v>
      </c>
    </row>
    <row r="925" customFormat="false" ht="15" hidden="false" customHeight="false" outlineLevel="0" collapsed="false">
      <c r="A925" s="0" t="s">
        <v>2436</v>
      </c>
      <c r="B925" s="0" t="s">
        <v>2437</v>
      </c>
      <c r="C925" s="0" t="s">
        <v>2438</v>
      </c>
      <c r="D925" s="2" t="s">
        <v>23</v>
      </c>
      <c r="E925" s="0" t="str">
        <f aca="false">VLOOKUP(D925,Fornitori!$A$2:$C$6,2,FALSE())</f>
        <v>Pneumax Service</v>
      </c>
      <c r="F925" s="0" t="n">
        <v>48</v>
      </c>
      <c r="G925" s="0" t="n">
        <v>22</v>
      </c>
      <c r="H925" s="0" t="str">
        <f aca="false">IF(F925&lt;G925,"SI","NO")</f>
        <v>NO</v>
      </c>
    </row>
    <row r="926" customFormat="false" ht="15" hidden="false" customHeight="false" outlineLevel="0" collapsed="false">
      <c r="A926" s="0" t="s">
        <v>2439</v>
      </c>
      <c r="B926" s="0" t="s">
        <v>2440</v>
      </c>
      <c r="C926" s="0" t="s">
        <v>2441</v>
      </c>
      <c r="D926" s="2" t="s">
        <v>27</v>
      </c>
      <c r="E926" s="0" t="str">
        <f aca="false">VLOOKUP(D926,Fornitori!$A$2:$C$6,2,FALSE())</f>
        <v>Guarnizioni Alpi</v>
      </c>
      <c r="F926" s="0" t="n">
        <v>54</v>
      </c>
      <c r="G926" s="0" t="n">
        <v>22</v>
      </c>
      <c r="H926" s="0" t="str">
        <f aca="false">IF(F926&lt;G926,"SI","NO")</f>
        <v>NO</v>
      </c>
    </row>
    <row r="927" customFormat="false" ht="15" hidden="false" customHeight="false" outlineLevel="0" collapsed="false">
      <c r="A927" s="0" t="s">
        <v>2442</v>
      </c>
      <c r="B927" s="0" t="s">
        <v>2443</v>
      </c>
      <c r="C927" s="0" t="s">
        <v>386</v>
      </c>
      <c r="D927" s="2" t="s">
        <v>11</v>
      </c>
      <c r="E927" s="0" t="str">
        <f aca="false">VLOOKUP(D927,Fornitori!$A$2:$C$6,2,FALSE())</f>
        <v>Meccanica Bassi S.r.l.</v>
      </c>
      <c r="F927" s="0" t="n">
        <v>48</v>
      </c>
      <c r="G927" s="0" t="n">
        <v>6</v>
      </c>
      <c r="H927" s="0" t="str">
        <f aca="false">IF(F927&lt;G927,"SI","NO")</f>
        <v>NO</v>
      </c>
    </row>
    <row r="928" customFormat="false" ht="15" hidden="false" customHeight="false" outlineLevel="0" collapsed="false">
      <c r="A928" s="0" t="s">
        <v>2444</v>
      </c>
      <c r="B928" s="0" t="s">
        <v>2445</v>
      </c>
      <c r="C928" s="0" t="s">
        <v>1320</v>
      </c>
      <c r="D928" s="2" t="s">
        <v>15</v>
      </c>
      <c r="E928" s="0" t="str">
        <f aca="false">VLOOKUP(D928,Fornitori!$A$2:$C$6,2,FALSE())</f>
        <v>Rulmeca Italia</v>
      </c>
      <c r="F928" s="0" t="n">
        <v>58</v>
      </c>
      <c r="G928" s="0" t="n">
        <v>14</v>
      </c>
      <c r="H928" s="0" t="str">
        <f aca="false">IF(F928&lt;G928,"SI","NO")</f>
        <v>NO</v>
      </c>
    </row>
    <row r="929" customFormat="false" ht="15" hidden="false" customHeight="false" outlineLevel="0" collapsed="false">
      <c r="A929" s="0" t="s">
        <v>2446</v>
      </c>
      <c r="B929" s="0" t="s">
        <v>2447</v>
      </c>
      <c r="C929" s="0" t="s">
        <v>2448</v>
      </c>
      <c r="D929" s="2" t="s">
        <v>19</v>
      </c>
      <c r="E929" s="0" t="str">
        <f aca="false">VLOOKUP(D929,Fornitori!$A$2:$C$6,2,FALSE())</f>
        <v>Elettrotecnica Ferri</v>
      </c>
      <c r="F929" s="0" t="n">
        <v>8</v>
      </c>
      <c r="G929" s="0" t="n">
        <v>8</v>
      </c>
      <c r="H929" s="0" t="str">
        <f aca="false">IF(F929&lt;G929,"SI","NO")</f>
        <v>NO</v>
      </c>
    </row>
    <row r="930" customFormat="false" ht="15" hidden="false" customHeight="false" outlineLevel="0" collapsed="false">
      <c r="A930" s="0" t="s">
        <v>2449</v>
      </c>
      <c r="B930" s="0" t="s">
        <v>2450</v>
      </c>
      <c r="C930" s="0" t="s">
        <v>2451</v>
      </c>
      <c r="D930" s="2" t="s">
        <v>23</v>
      </c>
      <c r="E930" s="0" t="str">
        <f aca="false">VLOOKUP(D930,Fornitori!$A$2:$C$6,2,FALSE())</f>
        <v>Pneumax Service</v>
      </c>
      <c r="F930" s="0" t="n">
        <v>27</v>
      </c>
      <c r="G930" s="0" t="n">
        <v>19</v>
      </c>
      <c r="H930" s="0" t="str">
        <f aca="false">IF(F930&lt;G930,"SI","NO")</f>
        <v>NO</v>
      </c>
    </row>
    <row r="931" customFormat="false" ht="15" hidden="false" customHeight="false" outlineLevel="0" collapsed="false">
      <c r="A931" s="0" t="s">
        <v>2452</v>
      </c>
      <c r="B931" s="0" t="s">
        <v>2453</v>
      </c>
      <c r="C931" s="0" t="s">
        <v>146</v>
      </c>
      <c r="D931" s="2" t="s">
        <v>27</v>
      </c>
      <c r="E931" s="0" t="str">
        <f aca="false">VLOOKUP(D931,Fornitori!$A$2:$C$6,2,FALSE())</f>
        <v>Guarnizioni Alpi</v>
      </c>
      <c r="F931" s="0" t="n">
        <v>6</v>
      </c>
      <c r="G931" s="0" t="n">
        <v>6</v>
      </c>
      <c r="H931" s="0" t="str">
        <f aca="false">IF(F931&lt;G931,"SI","NO")</f>
        <v>NO</v>
      </c>
    </row>
    <row r="932" customFormat="false" ht="15" hidden="false" customHeight="false" outlineLevel="0" collapsed="false">
      <c r="A932" s="0" t="s">
        <v>2454</v>
      </c>
      <c r="B932" s="0" t="s">
        <v>2055</v>
      </c>
      <c r="C932" s="0" t="s">
        <v>2455</v>
      </c>
      <c r="D932" s="2" t="s">
        <v>11</v>
      </c>
      <c r="E932" s="0" t="str">
        <f aca="false">VLOOKUP(D932,Fornitori!$A$2:$C$6,2,FALSE())</f>
        <v>Meccanica Bassi S.r.l.</v>
      </c>
      <c r="F932" s="0" t="n">
        <v>16</v>
      </c>
      <c r="G932" s="0" t="n">
        <v>13</v>
      </c>
      <c r="H932" s="0" t="str">
        <f aca="false">IF(F932&lt;G932,"SI","NO")</f>
        <v>NO</v>
      </c>
    </row>
    <row r="933" customFormat="false" ht="15" hidden="false" customHeight="false" outlineLevel="0" collapsed="false">
      <c r="A933" s="0" t="s">
        <v>2456</v>
      </c>
      <c r="B933" s="0" t="s">
        <v>2457</v>
      </c>
      <c r="C933" s="0" t="s">
        <v>2458</v>
      </c>
      <c r="D933" s="2" t="s">
        <v>15</v>
      </c>
      <c r="E933" s="0" t="str">
        <f aca="false">VLOOKUP(D933,Fornitori!$A$2:$C$6,2,FALSE())</f>
        <v>Rulmeca Italia</v>
      </c>
      <c r="F933" s="0" t="n">
        <v>51</v>
      </c>
      <c r="G933" s="0" t="n">
        <v>13</v>
      </c>
      <c r="H933" s="0" t="str">
        <f aca="false">IF(F933&lt;G933,"SI","NO")</f>
        <v>NO</v>
      </c>
    </row>
    <row r="934" customFormat="false" ht="15" hidden="false" customHeight="false" outlineLevel="0" collapsed="false">
      <c r="A934" s="0" t="s">
        <v>2459</v>
      </c>
      <c r="B934" s="0" t="s">
        <v>1155</v>
      </c>
      <c r="C934" s="0" t="s">
        <v>2460</v>
      </c>
      <c r="D934" s="2" t="s">
        <v>19</v>
      </c>
      <c r="E934" s="0" t="str">
        <f aca="false">VLOOKUP(D934,Fornitori!$A$2:$C$6,2,FALSE())</f>
        <v>Elettrotecnica Ferri</v>
      </c>
      <c r="F934" s="0" t="n">
        <v>44</v>
      </c>
      <c r="G934" s="0" t="n">
        <v>20</v>
      </c>
      <c r="H934" s="0" t="str">
        <f aca="false">IF(F934&lt;G934,"SI","NO")</f>
        <v>NO</v>
      </c>
    </row>
    <row r="935" customFormat="false" ht="15" hidden="false" customHeight="false" outlineLevel="0" collapsed="false">
      <c r="A935" s="0" t="s">
        <v>2461</v>
      </c>
      <c r="B935" s="0" t="s">
        <v>2462</v>
      </c>
      <c r="C935" s="0" t="s">
        <v>2463</v>
      </c>
      <c r="D935" s="2" t="s">
        <v>23</v>
      </c>
      <c r="E935" s="0" t="str">
        <f aca="false">VLOOKUP(D935,Fornitori!$A$2:$C$6,2,FALSE())</f>
        <v>Pneumax Service</v>
      </c>
      <c r="F935" s="0" t="n">
        <v>3</v>
      </c>
      <c r="G935" s="0" t="n">
        <v>24</v>
      </c>
      <c r="H935" s="0" t="str">
        <f aca="false">IF(F935&lt;G935,"SI","NO")</f>
        <v>SI</v>
      </c>
    </row>
    <row r="936" customFormat="false" ht="15" hidden="false" customHeight="false" outlineLevel="0" collapsed="false">
      <c r="A936" s="0" t="s">
        <v>2464</v>
      </c>
      <c r="B936" s="0" t="s">
        <v>2465</v>
      </c>
      <c r="C936" s="0" t="s">
        <v>2142</v>
      </c>
      <c r="D936" s="2" t="s">
        <v>27</v>
      </c>
      <c r="E936" s="0" t="str">
        <f aca="false">VLOOKUP(D936,Fornitori!$A$2:$C$6,2,FALSE())</f>
        <v>Guarnizioni Alpi</v>
      </c>
      <c r="F936" s="0" t="n">
        <v>52</v>
      </c>
      <c r="G936" s="0" t="n">
        <v>21</v>
      </c>
      <c r="H936" s="0" t="str">
        <f aca="false">IF(F936&lt;G936,"SI","NO")</f>
        <v>NO</v>
      </c>
    </row>
    <row r="937" customFormat="false" ht="15" hidden="false" customHeight="false" outlineLevel="0" collapsed="false">
      <c r="A937" s="0" t="s">
        <v>2466</v>
      </c>
      <c r="B937" s="0" t="s">
        <v>833</v>
      </c>
      <c r="C937" s="0" t="s">
        <v>2467</v>
      </c>
      <c r="D937" s="2" t="s">
        <v>11</v>
      </c>
      <c r="E937" s="0" t="str">
        <f aca="false">VLOOKUP(D937,Fornitori!$A$2:$C$6,2,FALSE())</f>
        <v>Meccanica Bassi S.r.l.</v>
      </c>
      <c r="F937" s="0" t="n">
        <v>5</v>
      </c>
      <c r="G937" s="0" t="n">
        <v>6</v>
      </c>
      <c r="H937" s="0" t="str">
        <f aca="false">IF(F937&lt;G937,"SI","NO")</f>
        <v>SI</v>
      </c>
    </row>
    <row r="938" customFormat="false" ht="15" hidden="false" customHeight="false" outlineLevel="0" collapsed="false">
      <c r="A938" s="0" t="s">
        <v>2468</v>
      </c>
      <c r="B938" s="0" t="s">
        <v>2469</v>
      </c>
      <c r="C938" s="0" t="s">
        <v>2121</v>
      </c>
      <c r="D938" s="2" t="s">
        <v>15</v>
      </c>
      <c r="E938" s="0" t="str">
        <f aca="false">VLOOKUP(D938,Fornitori!$A$2:$C$6,2,FALSE())</f>
        <v>Rulmeca Italia</v>
      </c>
      <c r="F938" s="0" t="n">
        <v>46</v>
      </c>
      <c r="G938" s="0" t="n">
        <v>14</v>
      </c>
      <c r="H938" s="0" t="str">
        <f aca="false">IF(F938&lt;G938,"SI","NO")</f>
        <v>NO</v>
      </c>
    </row>
    <row r="939" customFormat="false" ht="15" hidden="false" customHeight="false" outlineLevel="0" collapsed="false">
      <c r="A939" s="0" t="s">
        <v>2470</v>
      </c>
      <c r="B939" s="0" t="s">
        <v>2471</v>
      </c>
      <c r="C939" s="0" t="s">
        <v>2472</v>
      </c>
      <c r="D939" s="2" t="s">
        <v>19</v>
      </c>
      <c r="E939" s="0" t="str">
        <f aca="false">VLOOKUP(D939,Fornitori!$A$2:$C$6,2,FALSE())</f>
        <v>Elettrotecnica Ferri</v>
      </c>
      <c r="F939" s="0" t="n">
        <v>52</v>
      </c>
      <c r="G939" s="0" t="n">
        <v>8</v>
      </c>
      <c r="H939" s="0" t="str">
        <f aca="false">IF(F939&lt;G939,"SI","NO")</f>
        <v>NO</v>
      </c>
    </row>
    <row r="940" customFormat="false" ht="15" hidden="false" customHeight="false" outlineLevel="0" collapsed="false">
      <c r="A940" s="0" t="s">
        <v>2473</v>
      </c>
      <c r="B940" s="0" t="s">
        <v>2474</v>
      </c>
      <c r="C940" s="0" t="s">
        <v>2475</v>
      </c>
      <c r="D940" s="2" t="s">
        <v>23</v>
      </c>
      <c r="E940" s="0" t="str">
        <f aca="false">VLOOKUP(D940,Fornitori!$A$2:$C$6,2,FALSE())</f>
        <v>Pneumax Service</v>
      </c>
      <c r="F940" s="0" t="n">
        <v>10</v>
      </c>
      <c r="G940" s="0" t="n">
        <v>12</v>
      </c>
      <c r="H940" s="0" t="str">
        <f aca="false">IF(F940&lt;G940,"SI","NO")</f>
        <v>SI</v>
      </c>
    </row>
    <row r="941" customFormat="false" ht="15" hidden="false" customHeight="false" outlineLevel="0" collapsed="false">
      <c r="A941" s="0" t="s">
        <v>2476</v>
      </c>
      <c r="B941" s="0" t="s">
        <v>2477</v>
      </c>
      <c r="C941" s="0" t="s">
        <v>209</v>
      </c>
      <c r="D941" s="2" t="s">
        <v>27</v>
      </c>
      <c r="E941" s="0" t="str">
        <f aca="false">VLOOKUP(D941,Fornitori!$A$2:$C$6,2,FALSE())</f>
        <v>Guarnizioni Alpi</v>
      </c>
      <c r="F941" s="0" t="n">
        <v>14</v>
      </c>
      <c r="G941" s="0" t="n">
        <v>10</v>
      </c>
      <c r="H941" s="0" t="str">
        <f aca="false">IF(F941&lt;G941,"SI","NO")</f>
        <v>NO</v>
      </c>
    </row>
    <row r="942" customFormat="false" ht="15" hidden="false" customHeight="false" outlineLevel="0" collapsed="false">
      <c r="A942" s="0" t="s">
        <v>2478</v>
      </c>
      <c r="B942" s="0" t="s">
        <v>1915</v>
      </c>
      <c r="C942" s="0" t="s">
        <v>2479</v>
      </c>
      <c r="D942" s="2" t="s">
        <v>11</v>
      </c>
      <c r="E942" s="0" t="str">
        <f aca="false">VLOOKUP(D942,Fornitori!$A$2:$C$6,2,FALSE())</f>
        <v>Meccanica Bassi S.r.l.</v>
      </c>
      <c r="F942" s="0" t="n">
        <v>54</v>
      </c>
      <c r="G942" s="0" t="n">
        <v>19</v>
      </c>
      <c r="H942" s="0" t="str">
        <f aca="false">IF(F942&lt;G942,"SI","NO")</f>
        <v>NO</v>
      </c>
    </row>
    <row r="943" customFormat="false" ht="15" hidden="false" customHeight="false" outlineLevel="0" collapsed="false">
      <c r="A943" s="0" t="s">
        <v>2480</v>
      </c>
      <c r="B943" s="0" t="s">
        <v>2481</v>
      </c>
      <c r="C943" s="0" t="s">
        <v>1601</v>
      </c>
      <c r="D943" s="2" t="s">
        <v>15</v>
      </c>
      <c r="E943" s="0" t="str">
        <f aca="false">VLOOKUP(D943,Fornitori!$A$2:$C$6,2,FALSE())</f>
        <v>Rulmeca Italia</v>
      </c>
      <c r="F943" s="0" t="n">
        <v>20</v>
      </c>
      <c r="G943" s="0" t="n">
        <v>6</v>
      </c>
      <c r="H943" s="0" t="str">
        <f aca="false">IF(F943&lt;G943,"SI","NO")</f>
        <v>NO</v>
      </c>
    </row>
    <row r="944" customFormat="false" ht="15" hidden="false" customHeight="false" outlineLevel="0" collapsed="false">
      <c r="A944" s="0" t="s">
        <v>2482</v>
      </c>
      <c r="B944" s="0" t="s">
        <v>2483</v>
      </c>
      <c r="C944" s="0" t="s">
        <v>1323</v>
      </c>
      <c r="D944" s="2" t="s">
        <v>19</v>
      </c>
      <c r="E944" s="0" t="str">
        <f aca="false">VLOOKUP(D944,Fornitori!$A$2:$C$6,2,FALSE())</f>
        <v>Elettrotecnica Ferri</v>
      </c>
      <c r="F944" s="0" t="n">
        <v>33</v>
      </c>
      <c r="G944" s="0" t="n">
        <v>11</v>
      </c>
      <c r="H944" s="0" t="str">
        <f aca="false">IF(F944&lt;G944,"SI","NO")</f>
        <v>NO</v>
      </c>
    </row>
    <row r="945" customFormat="false" ht="15" hidden="false" customHeight="false" outlineLevel="0" collapsed="false">
      <c r="A945" s="0" t="s">
        <v>2484</v>
      </c>
      <c r="B945" s="0" t="s">
        <v>2485</v>
      </c>
      <c r="C945" s="0" t="s">
        <v>461</v>
      </c>
      <c r="D945" s="2" t="s">
        <v>23</v>
      </c>
      <c r="E945" s="0" t="str">
        <f aca="false">VLOOKUP(D945,Fornitori!$A$2:$C$6,2,FALSE())</f>
        <v>Pneumax Service</v>
      </c>
      <c r="F945" s="0" t="n">
        <v>25</v>
      </c>
      <c r="G945" s="0" t="n">
        <v>10</v>
      </c>
      <c r="H945" s="0" t="str">
        <f aca="false">IF(F945&lt;G945,"SI","NO")</f>
        <v>NO</v>
      </c>
    </row>
    <row r="946" customFormat="false" ht="15" hidden="false" customHeight="false" outlineLevel="0" collapsed="false">
      <c r="A946" s="0" t="s">
        <v>2486</v>
      </c>
      <c r="B946" s="0" t="s">
        <v>582</v>
      </c>
      <c r="C946" s="0" t="s">
        <v>1391</v>
      </c>
      <c r="D946" s="2" t="s">
        <v>27</v>
      </c>
      <c r="E946" s="0" t="str">
        <f aca="false">VLOOKUP(D946,Fornitori!$A$2:$C$6,2,FALSE())</f>
        <v>Guarnizioni Alpi</v>
      </c>
      <c r="F946" s="0" t="n">
        <v>36</v>
      </c>
      <c r="G946" s="0" t="n">
        <v>16</v>
      </c>
      <c r="H946" s="0" t="str">
        <f aca="false">IF(F946&lt;G946,"SI","NO")</f>
        <v>NO</v>
      </c>
    </row>
    <row r="947" customFormat="false" ht="15" hidden="false" customHeight="false" outlineLevel="0" collapsed="false">
      <c r="A947" s="0" t="s">
        <v>2487</v>
      </c>
      <c r="B947" s="0" t="s">
        <v>2488</v>
      </c>
      <c r="C947" s="0" t="s">
        <v>2489</v>
      </c>
      <c r="D947" s="2" t="s">
        <v>11</v>
      </c>
      <c r="E947" s="0" t="str">
        <f aca="false">VLOOKUP(D947,Fornitori!$A$2:$C$6,2,FALSE())</f>
        <v>Meccanica Bassi S.r.l.</v>
      </c>
      <c r="F947" s="0" t="n">
        <v>10</v>
      </c>
      <c r="G947" s="0" t="n">
        <v>15</v>
      </c>
      <c r="H947" s="0" t="str">
        <f aca="false">IF(F947&lt;G947,"SI","NO")</f>
        <v>SI</v>
      </c>
    </row>
    <row r="948" customFormat="false" ht="15" hidden="false" customHeight="false" outlineLevel="0" collapsed="false">
      <c r="A948" s="0" t="s">
        <v>2490</v>
      </c>
      <c r="B948" s="0" t="s">
        <v>1759</v>
      </c>
      <c r="C948" s="0" t="s">
        <v>2491</v>
      </c>
      <c r="D948" s="2" t="s">
        <v>15</v>
      </c>
      <c r="E948" s="0" t="str">
        <f aca="false">VLOOKUP(D948,Fornitori!$A$2:$C$6,2,FALSE())</f>
        <v>Rulmeca Italia</v>
      </c>
      <c r="F948" s="0" t="n">
        <v>31</v>
      </c>
      <c r="G948" s="0" t="n">
        <v>23</v>
      </c>
      <c r="H948" s="0" t="str">
        <f aca="false">IF(F948&lt;G948,"SI","NO")</f>
        <v>NO</v>
      </c>
    </row>
    <row r="949" customFormat="false" ht="15" hidden="false" customHeight="false" outlineLevel="0" collapsed="false">
      <c r="A949" s="0" t="s">
        <v>2492</v>
      </c>
      <c r="B949" s="0" t="s">
        <v>2493</v>
      </c>
      <c r="C949" s="0" t="s">
        <v>345</v>
      </c>
      <c r="D949" s="2" t="s">
        <v>19</v>
      </c>
      <c r="E949" s="0" t="str">
        <f aca="false">VLOOKUP(D949,Fornitori!$A$2:$C$6,2,FALSE())</f>
        <v>Elettrotecnica Ferri</v>
      </c>
      <c r="F949" s="0" t="n">
        <v>11</v>
      </c>
      <c r="G949" s="0" t="n">
        <v>15</v>
      </c>
      <c r="H949" s="0" t="str">
        <f aca="false">IF(F949&lt;G949,"SI","NO")</f>
        <v>SI</v>
      </c>
    </row>
    <row r="950" customFormat="false" ht="15" hidden="false" customHeight="false" outlineLevel="0" collapsed="false">
      <c r="A950" s="0" t="s">
        <v>2494</v>
      </c>
      <c r="B950" s="0" t="s">
        <v>2495</v>
      </c>
      <c r="C950" s="0" t="s">
        <v>2496</v>
      </c>
      <c r="D950" s="2" t="s">
        <v>23</v>
      </c>
      <c r="E950" s="0" t="str">
        <f aca="false">VLOOKUP(D950,Fornitori!$A$2:$C$6,2,FALSE())</f>
        <v>Pneumax Service</v>
      </c>
      <c r="F950" s="0" t="n">
        <v>18</v>
      </c>
      <c r="G950" s="0" t="n">
        <v>19</v>
      </c>
      <c r="H950" s="0" t="str">
        <f aca="false">IF(F950&lt;G950,"SI","NO")</f>
        <v>SI</v>
      </c>
    </row>
    <row r="951" customFormat="false" ht="15" hidden="false" customHeight="false" outlineLevel="0" collapsed="false">
      <c r="A951" s="0" t="s">
        <v>2497</v>
      </c>
      <c r="B951" s="0" t="s">
        <v>2498</v>
      </c>
      <c r="C951" s="0" t="s">
        <v>743</v>
      </c>
      <c r="D951" s="2" t="s">
        <v>27</v>
      </c>
      <c r="E951" s="0" t="str">
        <f aca="false">VLOOKUP(D951,Fornitori!$A$2:$C$6,2,FALSE())</f>
        <v>Guarnizioni Alpi</v>
      </c>
      <c r="F951" s="0" t="n">
        <v>12</v>
      </c>
      <c r="G951" s="0" t="n">
        <v>22</v>
      </c>
      <c r="H951" s="0" t="str">
        <f aca="false">IF(F951&lt;G951,"SI","NO")</f>
        <v>SI</v>
      </c>
    </row>
    <row r="952" customFormat="false" ht="15" hidden="false" customHeight="false" outlineLevel="0" collapsed="false">
      <c r="A952" s="0" t="s">
        <v>2499</v>
      </c>
      <c r="B952" s="0" t="s">
        <v>2500</v>
      </c>
      <c r="C952" s="0" t="s">
        <v>2501</v>
      </c>
      <c r="D952" s="2" t="s">
        <v>11</v>
      </c>
      <c r="E952" s="0" t="str">
        <f aca="false">VLOOKUP(D952,Fornitori!$A$2:$C$6,2,FALSE())</f>
        <v>Meccanica Bassi S.r.l.</v>
      </c>
      <c r="F952" s="0" t="n">
        <v>19</v>
      </c>
      <c r="G952" s="0" t="n">
        <v>14</v>
      </c>
      <c r="H952" s="0" t="str">
        <f aca="false">IF(F952&lt;G952,"SI","NO")</f>
        <v>NO</v>
      </c>
    </row>
    <row r="953" customFormat="false" ht="15" hidden="false" customHeight="false" outlineLevel="0" collapsed="false">
      <c r="A953" s="0" t="s">
        <v>2502</v>
      </c>
      <c r="B953" s="0" t="s">
        <v>2503</v>
      </c>
      <c r="C953" s="0" t="s">
        <v>224</v>
      </c>
      <c r="D953" s="2" t="s">
        <v>15</v>
      </c>
      <c r="E953" s="0" t="str">
        <f aca="false">VLOOKUP(D953,Fornitori!$A$2:$C$6,2,FALSE())</f>
        <v>Rulmeca Italia</v>
      </c>
      <c r="F953" s="0" t="n">
        <v>13</v>
      </c>
      <c r="G953" s="0" t="n">
        <v>22</v>
      </c>
      <c r="H953" s="0" t="str">
        <f aca="false">IF(F953&lt;G953,"SI","NO")</f>
        <v>SI</v>
      </c>
    </row>
    <row r="954" customFormat="false" ht="15" hidden="false" customHeight="false" outlineLevel="0" collapsed="false">
      <c r="A954" s="0" t="s">
        <v>2504</v>
      </c>
      <c r="B954" s="0" t="s">
        <v>2505</v>
      </c>
      <c r="C954" s="0" t="s">
        <v>188</v>
      </c>
      <c r="D954" s="2" t="s">
        <v>19</v>
      </c>
      <c r="E954" s="0" t="str">
        <f aca="false">VLOOKUP(D954,Fornitori!$A$2:$C$6,2,FALSE())</f>
        <v>Elettrotecnica Ferri</v>
      </c>
      <c r="F954" s="0" t="n">
        <v>7</v>
      </c>
      <c r="G954" s="0" t="n">
        <v>14</v>
      </c>
      <c r="H954" s="0" t="str">
        <f aca="false">IF(F954&lt;G954,"SI","NO")</f>
        <v>SI</v>
      </c>
    </row>
    <row r="955" customFormat="false" ht="15" hidden="false" customHeight="false" outlineLevel="0" collapsed="false">
      <c r="A955" s="0" t="s">
        <v>2506</v>
      </c>
      <c r="B955" s="0" t="s">
        <v>1396</v>
      </c>
      <c r="C955" s="0" t="s">
        <v>236</v>
      </c>
      <c r="D955" s="2" t="s">
        <v>23</v>
      </c>
      <c r="E955" s="0" t="str">
        <f aca="false">VLOOKUP(D955,Fornitori!$A$2:$C$6,2,FALSE())</f>
        <v>Pneumax Service</v>
      </c>
      <c r="F955" s="0" t="n">
        <v>27</v>
      </c>
      <c r="G955" s="0" t="n">
        <v>7</v>
      </c>
      <c r="H955" s="0" t="str">
        <f aca="false">IF(F955&lt;G955,"SI","NO")</f>
        <v>NO</v>
      </c>
    </row>
    <row r="956" customFormat="false" ht="15" hidden="false" customHeight="false" outlineLevel="0" collapsed="false">
      <c r="A956" s="0" t="s">
        <v>2507</v>
      </c>
      <c r="B956" s="0" t="s">
        <v>2508</v>
      </c>
      <c r="C956" s="0" t="s">
        <v>2509</v>
      </c>
      <c r="D956" s="2" t="s">
        <v>27</v>
      </c>
      <c r="E956" s="0" t="str">
        <f aca="false">VLOOKUP(D956,Fornitori!$A$2:$C$6,2,FALSE())</f>
        <v>Guarnizioni Alpi</v>
      </c>
      <c r="F956" s="0" t="n">
        <v>22</v>
      </c>
      <c r="G956" s="0" t="n">
        <v>23</v>
      </c>
      <c r="H956" s="0" t="str">
        <f aca="false">IF(F956&lt;G956,"SI","NO")</f>
        <v>SI</v>
      </c>
    </row>
    <row r="957" customFormat="false" ht="15" hidden="false" customHeight="false" outlineLevel="0" collapsed="false">
      <c r="A957" s="0" t="s">
        <v>2510</v>
      </c>
      <c r="B957" s="0" t="s">
        <v>2511</v>
      </c>
      <c r="C957" s="0" t="s">
        <v>2512</v>
      </c>
      <c r="D957" s="2" t="s">
        <v>11</v>
      </c>
      <c r="E957" s="0" t="str">
        <f aca="false">VLOOKUP(D957,Fornitori!$A$2:$C$6,2,FALSE())</f>
        <v>Meccanica Bassi S.r.l.</v>
      </c>
      <c r="F957" s="0" t="n">
        <v>53</v>
      </c>
      <c r="G957" s="0" t="n">
        <v>12</v>
      </c>
      <c r="H957" s="0" t="str">
        <f aca="false">IF(F957&lt;G957,"SI","NO")</f>
        <v>NO</v>
      </c>
    </row>
    <row r="958" customFormat="false" ht="15" hidden="false" customHeight="false" outlineLevel="0" collapsed="false">
      <c r="A958" s="0" t="s">
        <v>2513</v>
      </c>
      <c r="B958" s="0" t="s">
        <v>1879</v>
      </c>
      <c r="C958" s="0" t="s">
        <v>2514</v>
      </c>
      <c r="D958" s="2" t="s">
        <v>15</v>
      </c>
      <c r="E958" s="0" t="str">
        <f aca="false">VLOOKUP(D958,Fornitori!$A$2:$C$6,2,FALSE())</f>
        <v>Rulmeca Italia</v>
      </c>
      <c r="F958" s="0" t="n">
        <v>56</v>
      </c>
      <c r="G958" s="0" t="n">
        <v>21</v>
      </c>
      <c r="H958" s="0" t="str">
        <f aca="false">IF(F958&lt;G958,"SI","NO")</f>
        <v>NO</v>
      </c>
    </row>
    <row r="959" customFormat="false" ht="15" hidden="false" customHeight="false" outlineLevel="0" collapsed="false">
      <c r="A959" s="0" t="s">
        <v>2515</v>
      </c>
      <c r="B959" s="0" t="s">
        <v>2163</v>
      </c>
      <c r="C959" s="0" t="s">
        <v>2061</v>
      </c>
      <c r="D959" s="2" t="s">
        <v>19</v>
      </c>
      <c r="E959" s="0" t="str">
        <f aca="false">VLOOKUP(D959,Fornitori!$A$2:$C$6,2,FALSE())</f>
        <v>Elettrotecnica Ferri</v>
      </c>
      <c r="F959" s="0" t="n">
        <v>1</v>
      </c>
      <c r="G959" s="0" t="n">
        <v>7</v>
      </c>
      <c r="H959" s="0" t="str">
        <f aca="false">IF(F959&lt;G959,"SI","NO")</f>
        <v>SI</v>
      </c>
    </row>
    <row r="960" customFormat="false" ht="15" hidden="false" customHeight="false" outlineLevel="0" collapsed="false">
      <c r="A960" s="0" t="s">
        <v>2516</v>
      </c>
      <c r="B960" s="0" t="s">
        <v>2517</v>
      </c>
      <c r="C960" s="0" t="s">
        <v>2518</v>
      </c>
      <c r="D960" s="2" t="s">
        <v>23</v>
      </c>
      <c r="E960" s="0" t="str">
        <f aca="false">VLOOKUP(D960,Fornitori!$A$2:$C$6,2,FALSE())</f>
        <v>Pneumax Service</v>
      </c>
      <c r="F960" s="0" t="n">
        <v>27</v>
      </c>
      <c r="G960" s="0" t="n">
        <v>16</v>
      </c>
      <c r="H960" s="0" t="str">
        <f aca="false">IF(F960&lt;G960,"SI","NO")</f>
        <v>NO</v>
      </c>
    </row>
    <row r="961" customFormat="false" ht="15" hidden="false" customHeight="false" outlineLevel="0" collapsed="false">
      <c r="A961" s="0" t="s">
        <v>2519</v>
      </c>
      <c r="B961" s="0" t="s">
        <v>2520</v>
      </c>
      <c r="C961" s="0" t="s">
        <v>2521</v>
      </c>
      <c r="D961" s="2" t="s">
        <v>27</v>
      </c>
      <c r="E961" s="0" t="str">
        <f aca="false">VLOOKUP(D961,Fornitori!$A$2:$C$6,2,FALSE())</f>
        <v>Guarnizioni Alpi</v>
      </c>
      <c r="F961" s="0" t="n">
        <v>34</v>
      </c>
      <c r="G961" s="0" t="n">
        <v>17</v>
      </c>
      <c r="H961" s="0" t="str">
        <f aca="false">IF(F961&lt;G961,"SI","NO")</f>
        <v>NO</v>
      </c>
    </row>
    <row r="962" customFormat="false" ht="15" hidden="false" customHeight="false" outlineLevel="0" collapsed="false">
      <c r="A962" s="0" t="s">
        <v>2522</v>
      </c>
      <c r="B962" s="0" t="s">
        <v>2523</v>
      </c>
      <c r="C962" s="0" t="s">
        <v>738</v>
      </c>
      <c r="D962" s="2" t="s">
        <v>11</v>
      </c>
      <c r="E962" s="0" t="str">
        <f aca="false">VLOOKUP(D962,Fornitori!$A$2:$C$6,2,FALSE())</f>
        <v>Meccanica Bassi S.r.l.</v>
      </c>
      <c r="F962" s="0" t="n">
        <v>22</v>
      </c>
      <c r="G962" s="0" t="n">
        <v>16</v>
      </c>
      <c r="H962" s="0" t="str">
        <f aca="false">IF(F962&lt;G962,"SI","NO")</f>
        <v>NO</v>
      </c>
    </row>
    <row r="963" customFormat="false" ht="15" hidden="false" customHeight="false" outlineLevel="0" collapsed="false">
      <c r="A963" s="0" t="s">
        <v>2524</v>
      </c>
      <c r="B963" s="0" t="s">
        <v>2525</v>
      </c>
      <c r="C963" s="0" t="s">
        <v>2420</v>
      </c>
      <c r="D963" s="2" t="s">
        <v>15</v>
      </c>
      <c r="E963" s="0" t="str">
        <f aca="false">VLOOKUP(D963,Fornitori!$A$2:$C$6,2,FALSE())</f>
        <v>Rulmeca Italia</v>
      </c>
      <c r="F963" s="0" t="n">
        <v>9</v>
      </c>
      <c r="G963" s="0" t="n">
        <v>9</v>
      </c>
      <c r="H963" s="0" t="str">
        <f aca="false">IF(F963&lt;G963,"SI","NO")</f>
        <v>NO</v>
      </c>
    </row>
    <row r="964" customFormat="false" ht="15" hidden="false" customHeight="false" outlineLevel="0" collapsed="false">
      <c r="A964" s="0" t="s">
        <v>2526</v>
      </c>
      <c r="B964" s="0" t="s">
        <v>2527</v>
      </c>
      <c r="C964" s="0" t="s">
        <v>1264</v>
      </c>
      <c r="D964" s="2" t="s">
        <v>19</v>
      </c>
      <c r="E964" s="0" t="str">
        <f aca="false">VLOOKUP(D964,Fornitori!$A$2:$C$6,2,FALSE())</f>
        <v>Elettrotecnica Ferri</v>
      </c>
      <c r="F964" s="0" t="n">
        <v>32</v>
      </c>
      <c r="G964" s="0" t="n">
        <v>23</v>
      </c>
      <c r="H964" s="0" t="str">
        <f aca="false">IF(F964&lt;G964,"SI","NO")</f>
        <v>NO</v>
      </c>
    </row>
    <row r="965" customFormat="false" ht="15" hidden="false" customHeight="false" outlineLevel="0" collapsed="false">
      <c r="A965" s="0" t="s">
        <v>2528</v>
      </c>
      <c r="B965" s="0" t="s">
        <v>1752</v>
      </c>
      <c r="C965" s="0" t="s">
        <v>2529</v>
      </c>
      <c r="D965" s="2" t="s">
        <v>23</v>
      </c>
      <c r="E965" s="0" t="str">
        <f aca="false">VLOOKUP(D965,Fornitori!$A$2:$C$6,2,FALSE())</f>
        <v>Pneumax Service</v>
      </c>
      <c r="F965" s="0" t="n">
        <v>34</v>
      </c>
      <c r="G965" s="0" t="n">
        <v>5</v>
      </c>
      <c r="H965" s="0" t="str">
        <f aca="false">IF(F965&lt;G965,"SI","NO")</f>
        <v>NO</v>
      </c>
    </row>
    <row r="966" customFormat="false" ht="15" hidden="false" customHeight="false" outlineLevel="0" collapsed="false">
      <c r="A966" s="0" t="s">
        <v>2530</v>
      </c>
      <c r="B966" s="0" t="s">
        <v>2531</v>
      </c>
      <c r="C966" s="0" t="s">
        <v>2258</v>
      </c>
      <c r="D966" s="2" t="s">
        <v>27</v>
      </c>
      <c r="E966" s="0" t="str">
        <f aca="false">VLOOKUP(D966,Fornitori!$A$2:$C$6,2,FALSE())</f>
        <v>Guarnizioni Alpi</v>
      </c>
      <c r="F966" s="0" t="n">
        <v>59</v>
      </c>
      <c r="G966" s="0" t="n">
        <v>5</v>
      </c>
      <c r="H966" s="0" t="str">
        <f aca="false">IF(F966&lt;G966,"SI","NO")</f>
        <v>NO</v>
      </c>
    </row>
    <row r="967" customFormat="false" ht="15" hidden="false" customHeight="false" outlineLevel="0" collapsed="false">
      <c r="A967" s="0" t="s">
        <v>2532</v>
      </c>
      <c r="B967" s="0" t="s">
        <v>2533</v>
      </c>
      <c r="C967" s="0" t="s">
        <v>596</v>
      </c>
      <c r="D967" s="2" t="s">
        <v>11</v>
      </c>
      <c r="E967" s="0" t="str">
        <f aca="false">VLOOKUP(D967,Fornitori!$A$2:$C$6,2,FALSE())</f>
        <v>Meccanica Bassi S.r.l.</v>
      </c>
      <c r="F967" s="0" t="n">
        <v>30</v>
      </c>
      <c r="G967" s="0" t="n">
        <v>23</v>
      </c>
      <c r="H967" s="0" t="str">
        <f aca="false">IF(F967&lt;G967,"SI","NO")</f>
        <v>NO</v>
      </c>
    </row>
    <row r="968" customFormat="false" ht="15" hidden="false" customHeight="false" outlineLevel="0" collapsed="false">
      <c r="A968" s="0" t="s">
        <v>2534</v>
      </c>
      <c r="B968" s="0" t="s">
        <v>1378</v>
      </c>
      <c r="C968" s="0" t="s">
        <v>957</v>
      </c>
      <c r="D968" s="2" t="s">
        <v>15</v>
      </c>
      <c r="E968" s="0" t="str">
        <f aca="false">VLOOKUP(D968,Fornitori!$A$2:$C$6,2,FALSE())</f>
        <v>Rulmeca Italia</v>
      </c>
      <c r="F968" s="0" t="n">
        <v>2</v>
      </c>
      <c r="G968" s="0" t="n">
        <v>12</v>
      </c>
      <c r="H968" s="0" t="str">
        <f aca="false">IF(F968&lt;G968,"SI","NO")</f>
        <v>SI</v>
      </c>
    </row>
    <row r="969" customFormat="false" ht="15" hidden="false" customHeight="false" outlineLevel="0" collapsed="false">
      <c r="A969" s="0" t="s">
        <v>2535</v>
      </c>
      <c r="B969" s="0" t="s">
        <v>1007</v>
      </c>
      <c r="C969" s="0" t="s">
        <v>299</v>
      </c>
      <c r="D969" s="2" t="s">
        <v>19</v>
      </c>
      <c r="E969" s="0" t="str">
        <f aca="false">VLOOKUP(D969,Fornitori!$A$2:$C$6,2,FALSE())</f>
        <v>Elettrotecnica Ferri</v>
      </c>
      <c r="F969" s="0" t="n">
        <v>59</v>
      </c>
      <c r="G969" s="0" t="n">
        <v>10</v>
      </c>
      <c r="H969" s="0" t="str">
        <f aca="false">IF(F969&lt;G969,"SI","NO")</f>
        <v>NO</v>
      </c>
    </row>
    <row r="970" customFormat="false" ht="15" hidden="false" customHeight="false" outlineLevel="0" collapsed="false">
      <c r="A970" s="0" t="s">
        <v>2536</v>
      </c>
      <c r="B970" s="0" t="s">
        <v>2094</v>
      </c>
      <c r="C970" s="0" t="s">
        <v>173</v>
      </c>
      <c r="D970" s="2" t="s">
        <v>23</v>
      </c>
      <c r="E970" s="0" t="str">
        <f aca="false">VLOOKUP(D970,Fornitori!$A$2:$C$6,2,FALSE())</f>
        <v>Pneumax Service</v>
      </c>
      <c r="F970" s="0" t="n">
        <v>21</v>
      </c>
      <c r="G970" s="0" t="n">
        <v>7</v>
      </c>
      <c r="H970" s="0" t="str">
        <f aca="false">IF(F970&lt;G970,"SI","NO")</f>
        <v>NO</v>
      </c>
    </row>
    <row r="971" customFormat="false" ht="15" hidden="false" customHeight="false" outlineLevel="0" collapsed="false">
      <c r="A971" s="0" t="s">
        <v>2537</v>
      </c>
      <c r="B971" s="0" t="s">
        <v>2538</v>
      </c>
      <c r="C971" s="0" t="s">
        <v>2539</v>
      </c>
      <c r="D971" s="2" t="s">
        <v>27</v>
      </c>
      <c r="E971" s="0" t="str">
        <f aca="false">VLOOKUP(D971,Fornitori!$A$2:$C$6,2,FALSE())</f>
        <v>Guarnizioni Alpi</v>
      </c>
      <c r="F971" s="0" t="n">
        <v>19</v>
      </c>
      <c r="G971" s="0" t="n">
        <v>7</v>
      </c>
      <c r="H971" s="0" t="str">
        <f aca="false">IF(F971&lt;G971,"SI","NO")</f>
        <v>NO</v>
      </c>
    </row>
    <row r="972" customFormat="false" ht="15" hidden="false" customHeight="false" outlineLevel="0" collapsed="false">
      <c r="A972" s="0" t="s">
        <v>2540</v>
      </c>
      <c r="B972" s="0" t="s">
        <v>2541</v>
      </c>
      <c r="C972" s="0" t="s">
        <v>2542</v>
      </c>
      <c r="D972" s="2" t="s">
        <v>11</v>
      </c>
      <c r="E972" s="0" t="str">
        <f aca="false">VLOOKUP(D972,Fornitori!$A$2:$C$6,2,FALSE())</f>
        <v>Meccanica Bassi S.r.l.</v>
      </c>
      <c r="F972" s="0" t="n">
        <v>27</v>
      </c>
      <c r="G972" s="0" t="n">
        <v>15</v>
      </c>
      <c r="H972" s="0" t="str">
        <f aca="false">IF(F972&lt;G972,"SI","NO")</f>
        <v>NO</v>
      </c>
    </row>
    <row r="973" customFormat="false" ht="15" hidden="false" customHeight="false" outlineLevel="0" collapsed="false">
      <c r="A973" s="0" t="s">
        <v>2543</v>
      </c>
      <c r="B973" s="0" t="s">
        <v>2544</v>
      </c>
      <c r="C973" s="0" t="s">
        <v>2545</v>
      </c>
      <c r="D973" s="2" t="s">
        <v>15</v>
      </c>
      <c r="E973" s="0" t="str">
        <f aca="false">VLOOKUP(D973,Fornitori!$A$2:$C$6,2,FALSE())</f>
        <v>Rulmeca Italia</v>
      </c>
      <c r="F973" s="0" t="n">
        <v>2</v>
      </c>
      <c r="G973" s="0" t="n">
        <v>20</v>
      </c>
      <c r="H973" s="0" t="str">
        <f aca="false">IF(F973&lt;G973,"SI","NO")</f>
        <v>SI</v>
      </c>
    </row>
    <row r="974" customFormat="false" ht="15" hidden="false" customHeight="false" outlineLevel="0" collapsed="false">
      <c r="A974" s="0" t="s">
        <v>2546</v>
      </c>
      <c r="B974" s="0" t="s">
        <v>2547</v>
      </c>
      <c r="C974" s="0" t="s">
        <v>641</v>
      </c>
      <c r="D974" s="2" t="s">
        <v>19</v>
      </c>
      <c r="E974" s="0" t="str">
        <f aca="false">VLOOKUP(D974,Fornitori!$A$2:$C$6,2,FALSE())</f>
        <v>Elettrotecnica Ferri</v>
      </c>
      <c r="F974" s="0" t="n">
        <v>3</v>
      </c>
      <c r="G974" s="0" t="n">
        <v>14</v>
      </c>
      <c r="H974" s="0" t="str">
        <f aca="false">IF(F974&lt;G974,"SI","NO")</f>
        <v>SI</v>
      </c>
    </row>
    <row r="975" customFormat="false" ht="15" hidden="false" customHeight="false" outlineLevel="0" collapsed="false">
      <c r="A975" s="0" t="s">
        <v>2548</v>
      </c>
      <c r="B975" s="0" t="s">
        <v>2549</v>
      </c>
      <c r="C975" s="0" t="s">
        <v>2098</v>
      </c>
      <c r="D975" s="2" t="s">
        <v>23</v>
      </c>
      <c r="E975" s="0" t="str">
        <f aca="false">VLOOKUP(D975,Fornitori!$A$2:$C$6,2,FALSE())</f>
        <v>Pneumax Service</v>
      </c>
      <c r="F975" s="0" t="n">
        <v>47</v>
      </c>
      <c r="G975" s="0" t="n">
        <v>11</v>
      </c>
      <c r="H975" s="0" t="str">
        <f aca="false">IF(F975&lt;G975,"SI","NO")</f>
        <v>NO</v>
      </c>
    </row>
    <row r="976" customFormat="false" ht="15" hidden="false" customHeight="false" outlineLevel="0" collapsed="false">
      <c r="A976" s="0" t="s">
        <v>2550</v>
      </c>
      <c r="B976" s="0" t="s">
        <v>2551</v>
      </c>
      <c r="C976" s="0" t="s">
        <v>674</v>
      </c>
      <c r="D976" s="2" t="s">
        <v>27</v>
      </c>
      <c r="E976" s="0" t="str">
        <f aca="false">VLOOKUP(D976,Fornitori!$A$2:$C$6,2,FALSE())</f>
        <v>Guarnizioni Alpi</v>
      </c>
      <c r="F976" s="0" t="n">
        <v>27</v>
      </c>
      <c r="G976" s="0" t="n">
        <v>13</v>
      </c>
      <c r="H976" s="0" t="str">
        <f aca="false">IF(F976&lt;G976,"SI","NO")</f>
        <v>NO</v>
      </c>
    </row>
    <row r="977" customFormat="false" ht="15" hidden="false" customHeight="false" outlineLevel="0" collapsed="false">
      <c r="A977" s="0" t="s">
        <v>2552</v>
      </c>
      <c r="B977" s="0" t="s">
        <v>2553</v>
      </c>
      <c r="C977" s="0" t="s">
        <v>2234</v>
      </c>
      <c r="D977" s="2" t="s">
        <v>11</v>
      </c>
      <c r="E977" s="0" t="str">
        <f aca="false">VLOOKUP(D977,Fornitori!$A$2:$C$6,2,FALSE())</f>
        <v>Meccanica Bassi S.r.l.</v>
      </c>
      <c r="F977" s="0" t="n">
        <v>44</v>
      </c>
      <c r="G977" s="0" t="n">
        <v>12</v>
      </c>
      <c r="H977" s="0" t="str">
        <f aca="false">IF(F977&lt;G977,"SI","NO")</f>
        <v>NO</v>
      </c>
    </row>
    <row r="978" customFormat="false" ht="15" hidden="false" customHeight="false" outlineLevel="0" collapsed="false">
      <c r="A978" s="0" t="s">
        <v>2554</v>
      </c>
      <c r="B978" s="0" t="s">
        <v>2555</v>
      </c>
      <c r="C978" s="0" t="s">
        <v>1376</v>
      </c>
      <c r="D978" s="2" t="s">
        <v>15</v>
      </c>
      <c r="E978" s="0" t="str">
        <f aca="false">VLOOKUP(D978,Fornitori!$A$2:$C$6,2,FALSE())</f>
        <v>Rulmeca Italia</v>
      </c>
      <c r="F978" s="0" t="n">
        <v>34</v>
      </c>
      <c r="G978" s="0" t="n">
        <v>14</v>
      </c>
      <c r="H978" s="0" t="str">
        <f aca="false">IF(F978&lt;G978,"SI","NO")</f>
        <v>NO</v>
      </c>
    </row>
    <row r="979" customFormat="false" ht="15" hidden="false" customHeight="false" outlineLevel="0" collapsed="false">
      <c r="A979" s="0" t="s">
        <v>2556</v>
      </c>
      <c r="B979" s="0" t="s">
        <v>2493</v>
      </c>
      <c r="C979" s="0" t="s">
        <v>1902</v>
      </c>
      <c r="D979" s="2" t="s">
        <v>19</v>
      </c>
      <c r="E979" s="0" t="str">
        <f aca="false">VLOOKUP(D979,Fornitori!$A$2:$C$6,2,FALSE())</f>
        <v>Elettrotecnica Ferri</v>
      </c>
      <c r="F979" s="0" t="n">
        <v>42</v>
      </c>
      <c r="G979" s="0" t="n">
        <v>15</v>
      </c>
      <c r="H979" s="0" t="str">
        <f aca="false">IF(F979&lt;G979,"SI","NO")</f>
        <v>NO</v>
      </c>
    </row>
    <row r="980" customFormat="false" ht="15" hidden="false" customHeight="false" outlineLevel="0" collapsed="false">
      <c r="A980" s="0" t="s">
        <v>2557</v>
      </c>
      <c r="B980" s="0" t="s">
        <v>2558</v>
      </c>
      <c r="C980" s="0" t="s">
        <v>2061</v>
      </c>
      <c r="D980" s="2" t="s">
        <v>23</v>
      </c>
      <c r="E980" s="0" t="str">
        <f aca="false">VLOOKUP(D980,Fornitori!$A$2:$C$6,2,FALSE())</f>
        <v>Pneumax Service</v>
      </c>
      <c r="F980" s="0" t="n">
        <v>54</v>
      </c>
      <c r="G980" s="0" t="n">
        <v>18</v>
      </c>
      <c r="H980" s="0" t="str">
        <f aca="false">IF(F980&lt;G980,"SI","NO")</f>
        <v>NO</v>
      </c>
    </row>
    <row r="981" customFormat="false" ht="15" hidden="false" customHeight="false" outlineLevel="0" collapsed="false">
      <c r="A981" s="0" t="s">
        <v>2559</v>
      </c>
      <c r="B981" s="0" t="s">
        <v>2560</v>
      </c>
      <c r="C981" s="0" t="s">
        <v>2561</v>
      </c>
      <c r="D981" s="2" t="s">
        <v>27</v>
      </c>
      <c r="E981" s="0" t="str">
        <f aca="false">VLOOKUP(D981,Fornitori!$A$2:$C$6,2,FALSE())</f>
        <v>Guarnizioni Alpi</v>
      </c>
      <c r="F981" s="0" t="n">
        <v>34</v>
      </c>
      <c r="G981" s="0" t="n">
        <v>11</v>
      </c>
      <c r="H981" s="0" t="str">
        <f aca="false">IF(F981&lt;G981,"SI","NO")</f>
        <v>NO</v>
      </c>
    </row>
    <row r="982" customFormat="false" ht="15" hidden="false" customHeight="false" outlineLevel="0" collapsed="false">
      <c r="A982" s="0" t="s">
        <v>2562</v>
      </c>
      <c r="B982" s="0" t="s">
        <v>2563</v>
      </c>
      <c r="C982" s="0" t="s">
        <v>585</v>
      </c>
      <c r="D982" s="2" t="s">
        <v>11</v>
      </c>
      <c r="E982" s="0" t="str">
        <f aca="false">VLOOKUP(D982,Fornitori!$A$2:$C$6,2,FALSE())</f>
        <v>Meccanica Bassi S.r.l.</v>
      </c>
      <c r="F982" s="0" t="n">
        <v>43</v>
      </c>
      <c r="G982" s="0" t="n">
        <v>20</v>
      </c>
      <c r="H982" s="0" t="str">
        <f aca="false">IF(F982&lt;G982,"SI","NO")</f>
        <v>NO</v>
      </c>
    </row>
    <row r="983" customFormat="false" ht="15" hidden="false" customHeight="false" outlineLevel="0" collapsed="false">
      <c r="A983" s="0" t="s">
        <v>2564</v>
      </c>
      <c r="B983" s="0" t="s">
        <v>2565</v>
      </c>
      <c r="C983" s="0" t="s">
        <v>2566</v>
      </c>
      <c r="D983" s="2" t="s">
        <v>15</v>
      </c>
      <c r="E983" s="0" t="str">
        <f aca="false">VLOOKUP(D983,Fornitori!$A$2:$C$6,2,FALSE())</f>
        <v>Rulmeca Italia</v>
      </c>
      <c r="F983" s="0" t="n">
        <v>36</v>
      </c>
      <c r="G983" s="0" t="n">
        <v>19</v>
      </c>
      <c r="H983" s="0" t="str">
        <f aca="false">IF(F983&lt;G983,"SI","NO")</f>
        <v>NO</v>
      </c>
    </row>
    <row r="984" customFormat="false" ht="15" hidden="false" customHeight="false" outlineLevel="0" collapsed="false">
      <c r="A984" s="0" t="s">
        <v>2567</v>
      </c>
      <c r="B984" s="0" t="s">
        <v>2568</v>
      </c>
      <c r="C984" s="0" t="s">
        <v>2569</v>
      </c>
      <c r="D984" s="2" t="s">
        <v>19</v>
      </c>
      <c r="E984" s="0" t="str">
        <f aca="false">VLOOKUP(D984,Fornitori!$A$2:$C$6,2,FALSE())</f>
        <v>Elettrotecnica Ferri</v>
      </c>
      <c r="F984" s="0" t="n">
        <v>4</v>
      </c>
      <c r="G984" s="0" t="n">
        <v>20</v>
      </c>
      <c r="H984" s="0" t="str">
        <f aca="false">IF(F984&lt;G984,"SI","NO")</f>
        <v>SI</v>
      </c>
    </row>
    <row r="985" customFormat="false" ht="15" hidden="false" customHeight="false" outlineLevel="0" collapsed="false">
      <c r="A985" s="0" t="s">
        <v>2570</v>
      </c>
      <c r="B985" s="0" t="s">
        <v>2571</v>
      </c>
      <c r="C985" s="0" t="s">
        <v>2572</v>
      </c>
      <c r="D985" s="2" t="s">
        <v>23</v>
      </c>
      <c r="E985" s="0" t="str">
        <f aca="false">VLOOKUP(D985,Fornitori!$A$2:$C$6,2,FALSE())</f>
        <v>Pneumax Service</v>
      </c>
      <c r="F985" s="0" t="n">
        <v>37</v>
      </c>
      <c r="G985" s="0" t="n">
        <v>6</v>
      </c>
      <c r="H985" s="0" t="str">
        <f aca="false">IF(F985&lt;G985,"SI","NO")</f>
        <v>NO</v>
      </c>
    </row>
    <row r="986" customFormat="false" ht="15" hidden="false" customHeight="false" outlineLevel="0" collapsed="false">
      <c r="A986" s="0" t="s">
        <v>2573</v>
      </c>
      <c r="B986" s="0" t="s">
        <v>2574</v>
      </c>
      <c r="C986" s="0" t="s">
        <v>259</v>
      </c>
      <c r="D986" s="2" t="s">
        <v>27</v>
      </c>
      <c r="E986" s="0" t="str">
        <f aca="false">VLOOKUP(D986,Fornitori!$A$2:$C$6,2,FALSE())</f>
        <v>Guarnizioni Alpi</v>
      </c>
      <c r="F986" s="0" t="n">
        <v>14</v>
      </c>
      <c r="G986" s="0" t="n">
        <v>23</v>
      </c>
      <c r="H986" s="0" t="str">
        <f aca="false">IF(F986&lt;G986,"SI","NO")</f>
        <v>SI</v>
      </c>
    </row>
    <row r="987" customFormat="false" ht="15" hidden="false" customHeight="false" outlineLevel="0" collapsed="false">
      <c r="A987" s="0" t="s">
        <v>2575</v>
      </c>
      <c r="B987" s="0" t="s">
        <v>2576</v>
      </c>
      <c r="C987" s="0" t="s">
        <v>2577</v>
      </c>
      <c r="D987" s="2" t="s">
        <v>11</v>
      </c>
      <c r="E987" s="0" t="str">
        <f aca="false">VLOOKUP(D987,Fornitori!$A$2:$C$6,2,FALSE())</f>
        <v>Meccanica Bassi S.r.l.</v>
      </c>
      <c r="F987" s="0" t="n">
        <v>23</v>
      </c>
      <c r="G987" s="0" t="n">
        <v>18</v>
      </c>
      <c r="H987" s="0" t="str">
        <f aca="false">IF(F987&lt;G987,"SI","NO")</f>
        <v>NO</v>
      </c>
    </row>
    <row r="988" customFormat="false" ht="15" hidden="false" customHeight="false" outlineLevel="0" collapsed="false">
      <c r="A988" s="0" t="s">
        <v>2578</v>
      </c>
      <c r="B988" s="0" t="s">
        <v>2138</v>
      </c>
      <c r="C988" s="0" t="s">
        <v>2579</v>
      </c>
      <c r="D988" s="2" t="s">
        <v>15</v>
      </c>
      <c r="E988" s="0" t="str">
        <f aca="false">VLOOKUP(D988,Fornitori!$A$2:$C$6,2,FALSE())</f>
        <v>Rulmeca Italia</v>
      </c>
      <c r="F988" s="0" t="n">
        <v>0</v>
      </c>
      <c r="G988" s="0" t="n">
        <v>9</v>
      </c>
      <c r="H988" s="0" t="str">
        <f aca="false">IF(F988&lt;G988,"SI","NO")</f>
        <v>SI</v>
      </c>
    </row>
    <row r="989" customFormat="false" ht="15" hidden="false" customHeight="false" outlineLevel="0" collapsed="false">
      <c r="A989" s="0" t="s">
        <v>2580</v>
      </c>
      <c r="B989" s="0" t="s">
        <v>2581</v>
      </c>
      <c r="C989" s="0" t="s">
        <v>2582</v>
      </c>
      <c r="D989" s="2" t="s">
        <v>19</v>
      </c>
      <c r="E989" s="0" t="str">
        <f aca="false">VLOOKUP(D989,Fornitori!$A$2:$C$6,2,FALSE())</f>
        <v>Elettrotecnica Ferri</v>
      </c>
      <c r="F989" s="0" t="n">
        <v>58</v>
      </c>
      <c r="G989" s="0" t="n">
        <v>9</v>
      </c>
      <c r="H989" s="0" t="str">
        <f aca="false">IF(F989&lt;G989,"SI","NO")</f>
        <v>NO</v>
      </c>
    </row>
    <row r="990" customFormat="false" ht="15" hidden="false" customHeight="false" outlineLevel="0" collapsed="false">
      <c r="A990" s="0" t="s">
        <v>2583</v>
      </c>
      <c r="B990" s="0" t="s">
        <v>2584</v>
      </c>
      <c r="C990" s="0" t="s">
        <v>2585</v>
      </c>
      <c r="D990" s="2" t="s">
        <v>23</v>
      </c>
      <c r="E990" s="0" t="str">
        <f aca="false">VLOOKUP(D990,Fornitori!$A$2:$C$6,2,FALSE())</f>
        <v>Pneumax Service</v>
      </c>
      <c r="F990" s="0" t="n">
        <v>42</v>
      </c>
      <c r="G990" s="0" t="n">
        <v>12</v>
      </c>
      <c r="H990" s="0" t="str">
        <f aca="false">IF(F990&lt;G990,"SI","NO")</f>
        <v>NO</v>
      </c>
    </row>
    <row r="991" customFormat="false" ht="15" hidden="false" customHeight="false" outlineLevel="0" collapsed="false">
      <c r="A991" s="0" t="s">
        <v>2586</v>
      </c>
      <c r="B991" s="0" t="s">
        <v>2560</v>
      </c>
      <c r="C991" s="0" t="s">
        <v>2587</v>
      </c>
      <c r="D991" s="2" t="s">
        <v>27</v>
      </c>
      <c r="E991" s="0" t="str">
        <f aca="false">VLOOKUP(D991,Fornitori!$A$2:$C$6,2,FALSE())</f>
        <v>Guarnizioni Alpi</v>
      </c>
      <c r="F991" s="0" t="n">
        <v>55</v>
      </c>
      <c r="G991" s="0" t="n">
        <v>14</v>
      </c>
      <c r="H991" s="0" t="str">
        <f aca="false">IF(F991&lt;G991,"SI","NO")</f>
        <v>NO</v>
      </c>
    </row>
    <row r="992" customFormat="false" ht="15" hidden="false" customHeight="false" outlineLevel="0" collapsed="false">
      <c r="A992" s="0" t="s">
        <v>2588</v>
      </c>
      <c r="B992" s="0" t="s">
        <v>2589</v>
      </c>
      <c r="C992" s="0" t="s">
        <v>2590</v>
      </c>
      <c r="D992" s="2" t="s">
        <v>11</v>
      </c>
      <c r="E992" s="0" t="str">
        <f aca="false">VLOOKUP(D992,Fornitori!$A$2:$C$6,2,FALSE())</f>
        <v>Meccanica Bassi S.r.l.</v>
      </c>
      <c r="F992" s="0" t="n">
        <v>53</v>
      </c>
      <c r="G992" s="0" t="n">
        <v>23</v>
      </c>
      <c r="H992" s="0" t="str">
        <f aca="false">IF(F992&lt;G992,"SI","NO")</f>
        <v>NO</v>
      </c>
    </row>
    <row r="993" customFormat="false" ht="15" hidden="false" customHeight="false" outlineLevel="0" collapsed="false">
      <c r="A993" s="0" t="s">
        <v>2591</v>
      </c>
      <c r="B993" s="0" t="s">
        <v>2592</v>
      </c>
      <c r="C993" s="0" t="s">
        <v>2593</v>
      </c>
      <c r="D993" s="2" t="s">
        <v>15</v>
      </c>
      <c r="E993" s="0" t="str">
        <f aca="false">VLOOKUP(D993,Fornitori!$A$2:$C$6,2,FALSE())</f>
        <v>Rulmeca Italia</v>
      </c>
      <c r="F993" s="0" t="n">
        <v>21</v>
      </c>
      <c r="G993" s="0" t="n">
        <v>9</v>
      </c>
      <c r="H993" s="0" t="str">
        <f aca="false">IF(F993&lt;G993,"SI","NO")</f>
        <v>NO</v>
      </c>
    </row>
    <row r="994" customFormat="false" ht="15" hidden="false" customHeight="false" outlineLevel="0" collapsed="false">
      <c r="A994" s="0" t="s">
        <v>2594</v>
      </c>
      <c r="B994" s="0" t="s">
        <v>2595</v>
      </c>
      <c r="C994" s="0" t="s">
        <v>2596</v>
      </c>
      <c r="D994" s="2" t="s">
        <v>19</v>
      </c>
      <c r="E994" s="0" t="str">
        <f aca="false">VLOOKUP(D994,Fornitori!$A$2:$C$6,2,FALSE())</f>
        <v>Elettrotecnica Ferri</v>
      </c>
      <c r="F994" s="0" t="n">
        <v>42</v>
      </c>
      <c r="G994" s="0" t="n">
        <v>21</v>
      </c>
      <c r="H994" s="0" t="str">
        <f aca="false">IF(F994&lt;G994,"SI","NO")</f>
        <v>NO</v>
      </c>
    </row>
    <row r="995" customFormat="false" ht="15" hidden="false" customHeight="false" outlineLevel="0" collapsed="false">
      <c r="A995" s="0" t="s">
        <v>2597</v>
      </c>
      <c r="B995" s="0" t="s">
        <v>2365</v>
      </c>
      <c r="C995" s="0" t="s">
        <v>2598</v>
      </c>
      <c r="D995" s="2" t="s">
        <v>23</v>
      </c>
      <c r="E995" s="0" t="str">
        <f aca="false">VLOOKUP(D995,Fornitori!$A$2:$C$6,2,FALSE())</f>
        <v>Pneumax Service</v>
      </c>
      <c r="F995" s="0" t="n">
        <v>42</v>
      </c>
      <c r="G995" s="0" t="n">
        <v>24</v>
      </c>
      <c r="H995" s="0" t="str">
        <f aca="false">IF(F995&lt;G995,"SI","NO")</f>
        <v>NO</v>
      </c>
    </row>
    <row r="996" customFormat="false" ht="15" hidden="false" customHeight="false" outlineLevel="0" collapsed="false">
      <c r="A996" s="0" t="s">
        <v>2599</v>
      </c>
      <c r="B996" s="0" t="s">
        <v>2600</v>
      </c>
      <c r="C996" s="0" t="s">
        <v>2601</v>
      </c>
      <c r="D996" s="2" t="s">
        <v>27</v>
      </c>
      <c r="E996" s="0" t="str">
        <f aca="false">VLOOKUP(D996,Fornitori!$A$2:$C$6,2,FALSE())</f>
        <v>Guarnizioni Alpi</v>
      </c>
      <c r="F996" s="0" t="n">
        <v>49</v>
      </c>
      <c r="G996" s="0" t="n">
        <v>19</v>
      </c>
      <c r="H996" s="0" t="str">
        <f aca="false">IF(F996&lt;G996,"SI","NO")</f>
        <v>NO</v>
      </c>
    </row>
    <row r="997" customFormat="false" ht="15" hidden="false" customHeight="false" outlineLevel="0" collapsed="false">
      <c r="A997" s="0" t="s">
        <v>2602</v>
      </c>
      <c r="B997" s="0" t="s">
        <v>2160</v>
      </c>
      <c r="C997" s="0" t="s">
        <v>2603</v>
      </c>
      <c r="D997" s="2" t="s">
        <v>11</v>
      </c>
      <c r="E997" s="0" t="str">
        <f aca="false">VLOOKUP(D997,Fornitori!$A$2:$C$6,2,FALSE())</f>
        <v>Meccanica Bassi S.r.l.</v>
      </c>
      <c r="F997" s="0" t="n">
        <v>59</v>
      </c>
      <c r="G997" s="0" t="n">
        <v>21</v>
      </c>
      <c r="H997" s="0" t="str">
        <f aca="false">IF(F997&lt;G997,"SI","NO")</f>
        <v>NO</v>
      </c>
    </row>
    <row r="998" customFormat="false" ht="15" hidden="false" customHeight="false" outlineLevel="0" collapsed="false">
      <c r="A998" s="0" t="s">
        <v>2604</v>
      </c>
      <c r="B998" s="0" t="s">
        <v>241</v>
      </c>
      <c r="C998" s="0" t="s">
        <v>1153</v>
      </c>
      <c r="D998" s="2" t="s">
        <v>15</v>
      </c>
      <c r="E998" s="0" t="str">
        <f aca="false">VLOOKUP(D998,Fornitori!$A$2:$C$6,2,FALSE())</f>
        <v>Rulmeca Italia</v>
      </c>
      <c r="F998" s="0" t="n">
        <v>53</v>
      </c>
      <c r="G998" s="0" t="n">
        <v>6</v>
      </c>
      <c r="H998" s="0" t="str">
        <f aca="false">IF(F998&lt;G998,"SI","NO")</f>
        <v>NO</v>
      </c>
    </row>
    <row r="999" customFormat="false" ht="15" hidden="false" customHeight="false" outlineLevel="0" collapsed="false">
      <c r="A999" s="0" t="s">
        <v>2605</v>
      </c>
      <c r="B999" s="0" t="s">
        <v>2303</v>
      </c>
      <c r="C999" s="0" t="s">
        <v>1417</v>
      </c>
      <c r="D999" s="2" t="s">
        <v>19</v>
      </c>
      <c r="E999" s="0" t="str">
        <f aca="false">VLOOKUP(D999,Fornitori!$A$2:$C$6,2,FALSE())</f>
        <v>Elettrotecnica Ferri</v>
      </c>
      <c r="F999" s="0" t="n">
        <v>13</v>
      </c>
      <c r="G999" s="0" t="n">
        <v>19</v>
      </c>
      <c r="H999" s="0" t="str">
        <f aca="false">IF(F999&lt;G999,"SI","NO")</f>
        <v>SI</v>
      </c>
    </row>
    <row r="1000" customFormat="false" ht="15" hidden="false" customHeight="false" outlineLevel="0" collapsed="false">
      <c r="A1000" s="0" t="s">
        <v>2606</v>
      </c>
      <c r="B1000" s="0" t="s">
        <v>1955</v>
      </c>
      <c r="C1000" s="0" t="s">
        <v>105</v>
      </c>
      <c r="D1000" s="2" t="s">
        <v>23</v>
      </c>
      <c r="E1000" s="0" t="str">
        <f aca="false">VLOOKUP(D1000,Fornitori!$A$2:$C$6,2,FALSE())</f>
        <v>Pneumax Service</v>
      </c>
      <c r="F1000" s="0" t="n">
        <v>48</v>
      </c>
      <c r="G1000" s="0" t="n">
        <v>16</v>
      </c>
      <c r="H1000" s="0" t="str">
        <f aca="false">IF(F1000&lt;G1000,"SI","NO")</f>
        <v>NO</v>
      </c>
    </row>
    <row r="1001" customFormat="false" ht="15" hidden="false" customHeight="false" outlineLevel="0" collapsed="false">
      <c r="A1001" s="0" t="s">
        <v>2607</v>
      </c>
      <c r="B1001" s="0" t="s">
        <v>423</v>
      </c>
      <c r="C1001" s="0" t="s">
        <v>1294</v>
      </c>
      <c r="D1001" s="2" t="s">
        <v>27</v>
      </c>
      <c r="E1001" s="0" t="str">
        <f aca="false">VLOOKUP(D1001,Fornitori!$A$2:$C$6,2,FALSE())</f>
        <v>Guarnizioni Alpi</v>
      </c>
      <c r="F1001" s="0" t="n">
        <v>43</v>
      </c>
      <c r="G1001" s="0" t="n">
        <v>13</v>
      </c>
      <c r="H1001" s="0" t="str">
        <f aca="false">IF(F1001&lt;G1001,"SI","NO")</f>
        <v>NO</v>
      </c>
    </row>
    <row r="1002" customFormat="false" ht="15" hidden="false" customHeight="false" outlineLevel="0" collapsed="false">
      <c r="A1002" s="0" t="s">
        <v>2608</v>
      </c>
      <c r="B1002" s="0" t="s">
        <v>2609</v>
      </c>
      <c r="C1002" s="0" t="s">
        <v>2610</v>
      </c>
      <c r="D1002" s="2" t="s">
        <v>11</v>
      </c>
      <c r="E1002" s="0" t="str">
        <f aca="false">VLOOKUP(D1002,Fornitori!$A$2:$C$6,2,FALSE())</f>
        <v>Meccanica Bassi S.r.l.</v>
      </c>
      <c r="F1002" s="0" t="n">
        <v>3</v>
      </c>
      <c r="G1002" s="0" t="n">
        <v>15</v>
      </c>
      <c r="H1002" s="0" t="str">
        <f aca="false">IF(F1002&lt;G1002,"SI","NO")</f>
        <v>SI</v>
      </c>
    </row>
    <row r="1003" customFormat="false" ht="15" hidden="false" customHeight="false" outlineLevel="0" collapsed="false">
      <c r="A1003" s="0" t="s">
        <v>2611</v>
      </c>
      <c r="B1003" s="0" t="s">
        <v>2150</v>
      </c>
      <c r="C1003" s="0" t="s">
        <v>2521</v>
      </c>
      <c r="D1003" s="2" t="s">
        <v>15</v>
      </c>
      <c r="E1003" s="0" t="str">
        <f aca="false">VLOOKUP(D1003,Fornitori!$A$2:$C$6,2,FALSE())</f>
        <v>Rulmeca Italia</v>
      </c>
      <c r="F1003" s="0" t="n">
        <v>33</v>
      </c>
      <c r="G1003" s="0" t="n">
        <v>14</v>
      </c>
      <c r="H1003" s="0" t="str">
        <f aca="false">IF(F1003&lt;G1003,"SI","NO")</f>
        <v>NO</v>
      </c>
    </row>
    <row r="1004" customFormat="false" ht="15" hidden="false" customHeight="false" outlineLevel="0" collapsed="false">
      <c r="A1004" s="0" t="s">
        <v>2612</v>
      </c>
      <c r="B1004" s="0" t="s">
        <v>2613</v>
      </c>
      <c r="C1004" s="0" t="s">
        <v>102</v>
      </c>
      <c r="D1004" s="2" t="s">
        <v>19</v>
      </c>
      <c r="E1004" s="0" t="str">
        <f aca="false">VLOOKUP(D1004,Fornitori!$A$2:$C$6,2,FALSE())</f>
        <v>Elettrotecnica Ferri</v>
      </c>
      <c r="F1004" s="0" t="n">
        <v>46</v>
      </c>
      <c r="G1004" s="0" t="n">
        <v>10</v>
      </c>
      <c r="H1004" s="0" t="str">
        <f aca="false">IF(F1004&lt;G1004,"SI","NO")</f>
        <v>NO</v>
      </c>
    </row>
    <row r="1005" customFormat="false" ht="15" hidden="false" customHeight="false" outlineLevel="0" collapsed="false">
      <c r="A1005" s="0" t="s">
        <v>2614</v>
      </c>
      <c r="B1005" s="0" t="s">
        <v>2615</v>
      </c>
      <c r="C1005" s="0" t="s">
        <v>191</v>
      </c>
      <c r="D1005" s="2" t="s">
        <v>23</v>
      </c>
      <c r="E1005" s="0" t="str">
        <f aca="false">VLOOKUP(D1005,Fornitori!$A$2:$C$6,2,FALSE())</f>
        <v>Pneumax Service</v>
      </c>
      <c r="F1005" s="0" t="n">
        <v>57</v>
      </c>
      <c r="G1005" s="0" t="n">
        <v>20</v>
      </c>
      <c r="H1005" s="0" t="str">
        <f aca="false">IF(F1005&lt;G1005,"SI","NO")</f>
        <v>NO</v>
      </c>
    </row>
    <row r="1006" customFormat="false" ht="15" hidden="false" customHeight="false" outlineLevel="0" collapsed="false">
      <c r="A1006" s="0" t="s">
        <v>2616</v>
      </c>
      <c r="B1006" s="0" t="s">
        <v>2617</v>
      </c>
      <c r="C1006" s="0" t="s">
        <v>1093</v>
      </c>
      <c r="D1006" s="2" t="s">
        <v>27</v>
      </c>
      <c r="E1006" s="0" t="str">
        <f aca="false">VLOOKUP(D1006,Fornitori!$A$2:$C$6,2,FALSE())</f>
        <v>Guarnizioni Alpi</v>
      </c>
      <c r="F1006" s="0" t="n">
        <v>28</v>
      </c>
      <c r="G1006" s="0" t="n">
        <v>14</v>
      </c>
      <c r="H1006" s="0" t="str">
        <f aca="false">IF(F1006&lt;G1006,"SI","NO")</f>
        <v>NO</v>
      </c>
    </row>
    <row r="1007" customFormat="false" ht="15" hidden="false" customHeight="false" outlineLevel="0" collapsed="false">
      <c r="A1007" s="0" t="s">
        <v>2618</v>
      </c>
      <c r="B1007" s="0" t="s">
        <v>2619</v>
      </c>
      <c r="C1007" s="0" t="s">
        <v>813</v>
      </c>
      <c r="D1007" s="2" t="s">
        <v>11</v>
      </c>
      <c r="E1007" s="0" t="str">
        <f aca="false">VLOOKUP(D1007,Fornitori!$A$2:$C$6,2,FALSE())</f>
        <v>Meccanica Bassi S.r.l.</v>
      </c>
      <c r="F1007" s="0" t="n">
        <v>11</v>
      </c>
      <c r="G1007" s="0" t="n">
        <v>10</v>
      </c>
      <c r="H1007" s="0" t="str">
        <f aca="false">IF(F1007&lt;G1007,"SI","NO")</f>
        <v>NO</v>
      </c>
    </row>
    <row r="1008" customFormat="false" ht="15" hidden="false" customHeight="false" outlineLevel="0" collapsed="false">
      <c r="A1008" s="0" t="s">
        <v>2620</v>
      </c>
      <c r="B1008" s="0" t="s">
        <v>2068</v>
      </c>
      <c r="C1008" s="0" t="s">
        <v>2621</v>
      </c>
      <c r="D1008" s="2" t="s">
        <v>15</v>
      </c>
      <c r="E1008" s="0" t="str">
        <f aca="false">VLOOKUP(D1008,Fornitori!$A$2:$C$6,2,FALSE())</f>
        <v>Rulmeca Italia</v>
      </c>
      <c r="F1008" s="0" t="n">
        <v>15</v>
      </c>
      <c r="G1008" s="0" t="n">
        <v>15</v>
      </c>
      <c r="H1008" s="0" t="str">
        <f aca="false">IF(F1008&lt;G1008,"SI","NO")</f>
        <v>NO</v>
      </c>
    </row>
    <row r="1009" customFormat="false" ht="15" hidden="false" customHeight="false" outlineLevel="0" collapsed="false">
      <c r="A1009" s="0" t="s">
        <v>2622</v>
      </c>
      <c r="B1009" s="0" t="s">
        <v>2623</v>
      </c>
      <c r="C1009" s="0" t="s">
        <v>2598</v>
      </c>
      <c r="D1009" s="2" t="s">
        <v>19</v>
      </c>
      <c r="E1009" s="0" t="str">
        <f aca="false">VLOOKUP(D1009,Fornitori!$A$2:$C$6,2,FALSE())</f>
        <v>Elettrotecnica Ferri</v>
      </c>
      <c r="F1009" s="0" t="n">
        <v>12</v>
      </c>
      <c r="G1009" s="0" t="n">
        <v>9</v>
      </c>
      <c r="H1009" s="0" t="str">
        <f aca="false">IF(F1009&lt;G1009,"SI","NO")</f>
        <v>NO</v>
      </c>
    </row>
    <row r="1010" customFormat="false" ht="15" hidden="false" customHeight="false" outlineLevel="0" collapsed="false">
      <c r="A1010" s="0" t="s">
        <v>2624</v>
      </c>
      <c r="B1010" s="0" t="s">
        <v>2625</v>
      </c>
      <c r="C1010" s="0" t="s">
        <v>2626</v>
      </c>
      <c r="D1010" s="2" t="s">
        <v>23</v>
      </c>
      <c r="E1010" s="0" t="str">
        <f aca="false">VLOOKUP(D1010,Fornitori!$A$2:$C$6,2,FALSE())</f>
        <v>Pneumax Service</v>
      </c>
      <c r="F1010" s="0" t="n">
        <v>17</v>
      </c>
      <c r="G1010" s="0" t="n">
        <v>19</v>
      </c>
      <c r="H1010" s="0" t="str">
        <f aca="false">IF(F1010&lt;G1010,"SI","NO")</f>
        <v>SI</v>
      </c>
    </row>
    <row r="1011" customFormat="false" ht="15" hidden="false" customHeight="false" outlineLevel="0" collapsed="false">
      <c r="A1011" s="0" t="s">
        <v>2627</v>
      </c>
      <c r="B1011" s="0" t="s">
        <v>2628</v>
      </c>
      <c r="C1011" s="0" t="s">
        <v>2629</v>
      </c>
      <c r="D1011" s="2" t="s">
        <v>27</v>
      </c>
      <c r="E1011" s="0" t="str">
        <f aca="false">VLOOKUP(D1011,Fornitori!$A$2:$C$6,2,FALSE())</f>
        <v>Guarnizioni Alpi</v>
      </c>
      <c r="F1011" s="0" t="n">
        <v>24</v>
      </c>
      <c r="G1011" s="0" t="n">
        <v>10</v>
      </c>
      <c r="H1011" s="0" t="str">
        <f aca="false">IF(F1011&lt;G1011,"SI","NO")</f>
        <v>NO</v>
      </c>
    </row>
    <row r="1012" customFormat="false" ht="15" hidden="false" customHeight="false" outlineLevel="0" collapsed="false">
      <c r="A1012" s="0" t="s">
        <v>2630</v>
      </c>
      <c r="B1012" s="0" t="s">
        <v>2631</v>
      </c>
      <c r="C1012" s="0" t="s">
        <v>1568</v>
      </c>
      <c r="D1012" s="2" t="s">
        <v>11</v>
      </c>
      <c r="E1012" s="0" t="str">
        <f aca="false">VLOOKUP(D1012,Fornitori!$A$2:$C$6,2,FALSE())</f>
        <v>Meccanica Bassi S.r.l.</v>
      </c>
      <c r="F1012" s="0" t="n">
        <v>20</v>
      </c>
      <c r="G1012" s="0" t="n">
        <v>15</v>
      </c>
      <c r="H1012" s="0" t="str">
        <f aca="false">IF(F1012&lt;G1012,"SI","NO")</f>
        <v>NO</v>
      </c>
    </row>
    <row r="1013" customFormat="false" ht="15" hidden="false" customHeight="false" outlineLevel="0" collapsed="false">
      <c r="A1013" s="0" t="s">
        <v>2632</v>
      </c>
      <c r="B1013" s="0" t="s">
        <v>1626</v>
      </c>
      <c r="C1013" s="0" t="s">
        <v>2633</v>
      </c>
      <c r="D1013" s="2" t="s">
        <v>15</v>
      </c>
      <c r="E1013" s="0" t="str">
        <f aca="false">VLOOKUP(D1013,Fornitori!$A$2:$C$6,2,FALSE())</f>
        <v>Rulmeca Italia</v>
      </c>
      <c r="F1013" s="0" t="n">
        <v>12</v>
      </c>
      <c r="G1013" s="0" t="n">
        <v>11</v>
      </c>
      <c r="H1013" s="0" t="str">
        <f aca="false">IF(F1013&lt;G1013,"SI","NO")</f>
        <v>NO</v>
      </c>
    </row>
    <row r="1014" customFormat="false" ht="15" hidden="false" customHeight="false" outlineLevel="0" collapsed="false">
      <c r="A1014" s="0" t="s">
        <v>2634</v>
      </c>
      <c r="B1014" s="0" t="s">
        <v>315</v>
      </c>
      <c r="C1014" s="0" t="s">
        <v>2416</v>
      </c>
      <c r="D1014" s="2" t="s">
        <v>19</v>
      </c>
      <c r="E1014" s="0" t="str">
        <f aca="false">VLOOKUP(D1014,Fornitori!$A$2:$C$6,2,FALSE())</f>
        <v>Elettrotecnica Ferri</v>
      </c>
      <c r="F1014" s="0" t="n">
        <v>12</v>
      </c>
      <c r="G1014" s="0" t="n">
        <v>12</v>
      </c>
      <c r="H1014" s="0" t="str">
        <f aca="false">IF(F1014&lt;G1014,"SI","NO")</f>
        <v>NO</v>
      </c>
    </row>
    <row r="1015" customFormat="false" ht="15" hidden="false" customHeight="false" outlineLevel="0" collapsed="false">
      <c r="A1015" s="0" t="s">
        <v>2635</v>
      </c>
      <c r="B1015" s="0" t="s">
        <v>2636</v>
      </c>
      <c r="C1015" s="0" t="s">
        <v>2637</v>
      </c>
      <c r="D1015" s="2" t="s">
        <v>23</v>
      </c>
      <c r="E1015" s="0" t="str">
        <f aca="false">VLOOKUP(D1015,Fornitori!$A$2:$C$6,2,FALSE())</f>
        <v>Pneumax Service</v>
      </c>
      <c r="F1015" s="0" t="n">
        <v>36</v>
      </c>
      <c r="G1015" s="0" t="n">
        <v>15</v>
      </c>
      <c r="H1015" s="0" t="str">
        <f aca="false">IF(F1015&lt;G1015,"SI","NO")</f>
        <v>NO</v>
      </c>
    </row>
    <row r="1016" customFormat="false" ht="15" hidden="false" customHeight="false" outlineLevel="0" collapsed="false">
      <c r="A1016" s="0" t="s">
        <v>2638</v>
      </c>
      <c r="B1016" s="0" t="s">
        <v>2639</v>
      </c>
      <c r="C1016" s="0" t="s">
        <v>2640</v>
      </c>
      <c r="D1016" s="2" t="s">
        <v>27</v>
      </c>
      <c r="E1016" s="0" t="str">
        <f aca="false">VLOOKUP(D1016,Fornitori!$A$2:$C$6,2,FALSE())</f>
        <v>Guarnizioni Alpi</v>
      </c>
      <c r="F1016" s="0" t="n">
        <v>13</v>
      </c>
      <c r="G1016" s="0" t="n">
        <v>19</v>
      </c>
      <c r="H1016" s="0" t="str">
        <f aca="false">IF(F1016&lt;G1016,"SI","NO")</f>
        <v>SI</v>
      </c>
    </row>
    <row r="1017" customFormat="false" ht="15" hidden="false" customHeight="false" outlineLevel="0" collapsed="false">
      <c r="A1017" s="0" t="s">
        <v>2641</v>
      </c>
      <c r="B1017" s="0" t="s">
        <v>2642</v>
      </c>
      <c r="C1017" s="0" t="s">
        <v>1580</v>
      </c>
      <c r="D1017" s="2" t="s">
        <v>11</v>
      </c>
      <c r="E1017" s="0" t="str">
        <f aca="false">VLOOKUP(D1017,Fornitori!$A$2:$C$6,2,FALSE())</f>
        <v>Meccanica Bassi S.r.l.</v>
      </c>
      <c r="F1017" s="0" t="n">
        <v>14</v>
      </c>
      <c r="G1017" s="0" t="n">
        <v>8</v>
      </c>
      <c r="H1017" s="0" t="str">
        <f aca="false">IF(F1017&lt;G1017,"SI","NO")</f>
        <v>NO</v>
      </c>
    </row>
    <row r="1018" customFormat="false" ht="15" hidden="false" customHeight="false" outlineLevel="0" collapsed="false">
      <c r="A1018" s="0" t="s">
        <v>2643</v>
      </c>
      <c r="B1018" s="0" t="s">
        <v>2644</v>
      </c>
      <c r="C1018" s="0" t="s">
        <v>1773</v>
      </c>
      <c r="D1018" s="2" t="s">
        <v>15</v>
      </c>
      <c r="E1018" s="0" t="str">
        <f aca="false">VLOOKUP(D1018,Fornitori!$A$2:$C$6,2,FALSE())</f>
        <v>Rulmeca Italia</v>
      </c>
      <c r="F1018" s="0" t="n">
        <v>27</v>
      </c>
      <c r="G1018" s="0" t="n">
        <v>12</v>
      </c>
      <c r="H1018" s="0" t="str">
        <f aca="false">IF(F1018&lt;G1018,"SI","NO")</f>
        <v>NO</v>
      </c>
    </row>
    <row r="1019" customFormat="false" ht="15" hidden="false" customHeight="false" outlineLevel="0" collapsed="false">
      <c r="A1019" s="0" t="s">
        <v>2645</v>
      </c>
      <c r="B1019" s="0" t="s">
        <v>1805</v>
      </c>
      <c r="C1019" s="0" t="s">
        <v>2646</v>
      </c>
      <c r="D1019" s="2" t="s">
        <v>19</v>
      </c>
      <c r="E1019" s="0" t="str">
        <f aca="false">VLOOKUP(D1019,Fornitori!$A$2:$C$6,2,FALSE())</f>
        <v>Elettrotecnica Ferri</v>
      </c>
      <c r="F1019" s="0" t="n">
        <v>2</v>
      </c>
      <c r="G1019" s="0" t="n">
        <v>21</v>
      </c>
      <c r="H1019" s="0" t="str">
        <f aca="false">IF(F1019&lt;G1019,"SI","NO")</f>
        <v>SI</v>
      </c>
    </row>
    <row r="1020" customFormat="false" ht="15" hidden="false" customHeight="false" outlineLevel="0" collapsed="false">
      <c r="A1020" s="0" t="s">
        <v>2647</v>
      </c>
      <c r="B1020" s="0" t="s">
        <v>2648</v>
      </c>
      <c r="C1020" s="0" t="s">
        <v>2649</v>
      </c>
      <c r="D1020" s="2" t="s">
        <v>23</v>
      </c>
      <c r="E1020" s="0" t="str">
        <f aca="false">VLOOKUP(D1020,Fornitori!$A$2:$C$6,2,FALSE())</f>
        <v>Pneumax Service</v>
      </c>
      <c r="F1020" s="0" t="n">
        <v>29</v>
      </c>
      <c r="G1020" s="0" t="n">
        <v>5</v>
      </c>
      <c r="H1020" s="0" t="str">
        <f aca="false">IF(F1020&lt;G1020,"SI","NO")</f>
        <v>NO</v>
      </c>
    </row>
    <row r="1021" customFormat="false" ht="15" hidden="false" customHeight="false" outlineLevel="0" collapsed="false">
      <c r="A1021" s="0" t="s">
        <v>2650</v>
      </c>
      <c r="B1021" s="0" t="s">
        <v>2651</v>
      </c>
      <c r="C1021" s="0" t="s">
        <v>2652</v>
      </c>
      <c r="D1021" s="2" t="s">
        <v>27</v>
      </c>
      <c r="E1021" s="0" t="str">
        <f aca="false">VLOOKUP(D1021,Fornitori!$A$2:$C$6,2,FALSE())</f>
        <v>Guarnizioni Alpi</v>
      </c>
      <c r="F1021" s="0" t="n">
        <v>38</v>
      </c>
      <c r="G1021" s="0" t="n">
        <v>24</v>
      </c>
      <c r="H1021" s="0" t="str">
        <f aca="false">IF(F1021&lt;G1021,"SI","NO")</f>
        <v>NO</v>
      </c>
    </row>
    <row r="1022" customFormat="false" ht="15" hidden="false" customHeight="false" outlineLevel="0" collapsed="false">
      <c r="A1022" s="0" t="s">
        <v>2653</v>
      </c>
      <c r="B1022" s="0" t="s">
        <v>2654</v>
      </c>
      <c r="C1022" s="0" t="s">
        <v>2655</v>
      </c>
      <c r="D1022" s="2" t="s">
        <v>11</v>
      </c>
      <c r="E1022" s="0" t="str">
        <f aca="false">VLOOKUP(D1022,Fornitori!$A$2:$C$6,2,FALSE())</f>
        <v>Meccanica Bassi S.r.l.</v>
      </c>
      <c r="F1022" s="0" t="n">
        <v>10</v>
      </c>
      <c r="G1022" s="0" t="n">
        <v>8</v>
      </c>
      <c r="H1022" s="0" t="str">
        <f aca="false">IF(F1022&lt;G1022,"SI","NO")</f>
        <v>NO</v>
      </c>
    </row>
    <row r="1023" customFormat="false" ht="15" hidden="false" customHeight="false" outlineLevel="0" collapsed="false">
      <c r="A1023" s="0" t="s">
        <v>2656</v>
      </c>
      <c r="B1023" s="0" t="s">
        <v>2657</v>
      </c>
      <c r="C1023" s="0" t="s">
        <v>1888</v>
      </c>
      <c r="D1023" s="2" t="s">
        <v>15</v>
      </c>
      <c r="E1023" s="0" t="str">
        <f aca="false">VLOOKUP(D1023,Fornitori!$A$2:$C$6,2,FALSE())</f>
        <v>Rulmeca Italia</v>
      </c>
      <c r="F1023" s="0" t="n">
        <v>55</v>
      </c>
      <c r="G1023" s="0" t="n">
        <v>11</v>
      </c>
      <c r="H1023" s="0" t="str">
        <f aca="false">IF(F1023&lt;G1023,"SI","NO")</f>
        <v>NO</v>
      </c>
    </row>
    <row r="1024" customFormat="false" ht="15" hidden="false" customHeight="false" outlineLevel="0" collapsed="false">
      <c r="A1024" s="0" t="s">
        <v>2658</v>
      </c>
      <c r="B1024" s="0" t="s">
        <v>2659</v>
      </c>
      <c r="C1024" s="0" t="s">
        <v>2660</v>
      </c>
      <c r="D1024" s="2" t="s">
        <v>19</v>
      </c>
      <c r="E1024" s="0" t="str">
        <f aca="false">VLOOKUP(D1024,Fornitori!$A$2:$C$6,2,FALSE())</f>
        <v>Elettrotecnica Ferri</v>
      </c>
      <c r="F1024" s="0" t="n">
        <v>23</v>
      </c>
      <c r="G1024" s="0" t="n">
        <v>5</v>
      </c>
      <c r="H1024" s="0" t="str">
        <f aca="false">IF(F1024&lt;G1024,"SI","NO")</f>
        <v>NO</v>
      </c>
    </row>
    <row r="1025" customFormat="false" ht="15" hidden="false" customHeight="false" outlineLevel="0" collapsed="false">
      <c r="A1025" s="0" t="s">
        <v>2661</v>
      </c>
      <c r="B1025" s="0" t="s">
        <v>2662</v>
      </c>
      <c r="C1025" s="0" t="s">
        <v>60</v>
      </c>
      <c r="D1025" s="2" t="s">
        <v>23</v>
      </c>
      <c r="E1025" s="0" t="str">
        <f aca="false">VLOOKUP(D1025,Fornitori!$A$2:$C$6,2,FALSE())</f>
        <v>Pneumax Service</v>
      </c>
      <c r="F1025" s="0" t="n">
        <v>22</v>
      </c>
      <c r="G1025" s="0" t="n">
        <v>21</v>
      </c>
      <c r="H1025" s="0" t="str">
        <f aca="false">IF(F1025&lt;G1025,"SI","NO")</f>
        <v>NO</v>
      </c>
    </row>
    <row r="1026" customFormat="false" ht="15" hidden="false" customHeight="false" outlineLevel="0" collapsed="false">
      <c r="A1026" s="0" t="s">
        <v>2663</v>
      </c>
      <c r="B1026" s="0" t="s">
        <v>115</v>
      </c>
      <c r="C1026" s="0" t="s">
        <v>2664</v>
      </c>
      <c r="D1026" s="2" t="s">
        <v>27</v>
      </c>
      <c r="E1026" s="0" t="str">
        <f aca="false">VLOOKUP(D1026,Fornitori!$A$2:$C$6,2,FALSE())</f>
        <v>Guarnizioni Alpi</v>
      </c>
      <c r="F1026" s="0" t="n">
        <v>31</v>
      </c>
      <c r="G1026" s="0" t="n">
        <v>8</v>
      </c>
      <c r="H1026" s="0" t="str">
        <f aca="false">IF(F1026&lt;G1026,"SI","NO")</f>
        <v>NO</v>
      </c>
    </row>
    <row r="1027" customFormat="false" ht="15" hidden="false" customHeight="false" outlineLevel="0" collapsed="false">
      <c r="A1027" s="0" t="s">
        <v>2665</v>
      </c>
      <c r="B1027" s="0" t="s">
        <v>2666</v>
      </c>
      <c r="C1027" s="0" t="s">
        <v>2512</v>
      </c>
      <c r="D1027" s="2" t="s">
        <v>11</v>
      </c>
      <c r="E1027" s="0" t="str">
        <f aca="false">VLOOKUP(D1027,Fornitori!$A$2:$C$6,2,FALSE())</f>
        <v>Meccanica Bassi S.r.l.</v>
      </c>
      <c r="F1027" s="0" t="n">
        <v>24</v>
      </c>
      <c r="G1027" s="0" t="n">
        <v>16</v>
      </c>
      <c r="H1027" s="0" t="str">
        <f aca="false">IF(F1027&lt;G1027,"SI","NO")</f>
        <v>NO</v>
      </c>
    </row>
    <row r="1028" customFormat="false" ht="15" hidden="false" customHeight="false" outlineLevel="0" collapsed="false">
      <c r="A1028" s="0" t="s">
        <v>2667</v>
      </c>
      <c r="B1028" s="0" t="s">
        <v>2668</v>
      </c>
      <c r="C1028" s="0" t="s">
        <v>2669</v>
      </c>
      <c r="D1028" s="2" t="s">
        <v>15</v>
      </c>
      <c r="E1028" s="0" t="str">
        <f aca="false">VLOOKUP(D1028,Fornitori!$A$2:$C$6,2,FALSE())</f>
        <v>Rulmeca Italia</v>
      </c>
      <c r="F1028" s="0" t="n">
        <v>5</v>
      </c>
      <c r="G1028" s="0" t="n">
        <v>24</v>
      </c>
      <c r="H1028" s="0" t="str">
        <f aca="false">IF(F1028&lt;G1028,"SI","NO")</f>
        <v>SI</v>
      </c>
    </row>
    <row r="1029" customFormat="false" ht="15" hidden="false" customHeight="false" outlineLevel="0" collapsed="false">
      <c r="A1029" s="0" t="s">
        <v>2670</v>
      </c>
      <c r="B1029" s="0" t="s">
        <v>2671</v>
      </c>
      <c r="C1029" s="0" t="s">
        <v>2672</v>
      </c>
      <c r="D1029" s="2" t="s">
        <v>19</v>
      </c>
      <c r="E1029" s="0" t="str">
        <f aca="false">VLOOKUP(D1029,Fornitori!$A$2:$C$6,2,FALSE())</f>
        <v>Elettrotecnica Ferri</v>
      </c>
      <c r="F1029" s="0" t="n">
        <v>41</v>
      </c>
      <c r="G1029" s="0" t="n">
        <v>15</v>
      </c>
      <c r="H1029" s="0" t="str">
        <f aca="false">IF(F1029&lt;G1029,"SI","NO")</f>
        <v>NO</v>
      </c>
    </row>
    <row r="1030" customFormat="false" ht="15" hidden="false" customHeight="false" outlineLevel="0" collapsed="false">
      <c r="A1030" s="0" t="s">
        <v>2673</v>
      </c>
      <c r="B1030" s="0" t="s">
        <v>2674</v>
      </c>
      <c r="C1030" s="0" t="s">
        <v>2199</v>
      </c>
      <c r="D1030" s="2" t="s">
        <v>23</v>
      </c>
      <c r="E1030" s="0" t="str">
        <f aca="false">VLOOKUP(D1030,Fornitori!$A$2:$C$6,2,FALSE())</f>
        <v>Pneumax Service</v>
      </c>
      <c r="F1030" s="0" t="n">
        <v>26</v>
      </c>
      <c r="G1030" s="0" t="n">
        <v>5</v>
      </c>
      <c r="H1030" s="0" t="str">
        <f aca="false">IF(F1030&lt;G1030,"SI","NO")</f>
        <v>NO</v>
      </c>
    </row>
    <row r="1031" customFormat="false" ht="15" hidden="false" customHeight="false" outlineLevel="0" collapsed="false">
      <c r="A1031" s="0" t="s">
        <v>2675</v>
      </c>
      <c r="B1031" s="0" t="s">
        <v>2676</v>
      </c>
      <c r="C1031" s="0" t="s">
        <v>322</v>
      </c>
      <c r="D1031" s="2" t="s">
        <v>27</v>
      </c>
      <c r="E1031" s="0" t="str">
        <f aca="false">VLOOKUP(D1031,Fornitori!$A$2:$C$6,2,FALSE())</f>
        <v>Guarnizioni Alpi</v>
      </c>
      <c r="F1031" s="0" t="n">
        <v>42</v>
      </c>
      <c r="G1031" s="0" t="n">
        <v>11</v>
      </c>
      <c r="H1031" s="0" t="str">
        <f aca="false">IF(F1031&lt;G1031,"SI","NO")</f>
        <v>NO</v>
      </c>
    </row>
    <row r="1032" customFormat="false" ht="15" hidden="false" customHeight="false" outlineLevel="0" collapsed="false">
      <c r="A1032" s="0" t="s">
        <v>2677</v>
      </c>
      <c r="B1032" s="0" t="s">
        <v>2678</v>
      </c>
      <c r="C1032" s="0" t="s">
        <v>415</v>
      </c>
      <c r="D1032" s="2" t="s">
        <v>11</v>
      </c>
      <c r="E1032" s="0" t="str">
        <f aca="false">VLOOKUP(D1032,Fornitori!$A$2:$C$6,2,FALSE())</f>
        <v>Meccanica Bassi S.r.l.</v>
      </c>
      <c r="F1032" s="0" t="n">
        <v>11</v>
      </c>
      <c r="G1032" s="0" t="n">
        <v>19</v>
      </c>
      <c r="H1032" s="0" t="str">
        <f aca="false">IF(F1032&lt;G1032,"SI","NO")</f>
        <v>SI</v>
      </c>
    </row>
    <row r="1033" customFormat="false" ht="15" hidden="false" customHeight="false" outlineLevel="0" collapsed="false">
      <c r="A1033" s="0" t="s">
        <v>2679</v>
      </c>
      <c r="B1033" s="0" t="s">
        <v>2680</v>
      </c>
      <c r="C1033" s="0" t="s">
        <v>2681</v>
      </c>
      <c r="D1033" s="2" t="s">
        <v>15</v>
      </c>
      <c r="E1033" s="0" t="str">
        <f aca="false">VLOOKUP(D1033,Fornitori!$A$2:$C$6,2,FALSE())</f>
        <v>Rulmeca Italia</v>
      </c>
      <c r="F1033" s="0" t="n">
        <v>14</v>
      </c>
      <c r="G1033" s="0" t="n">
        <v>15</v>
      </c>
      <c r="H1033" s="0" t="str">
        <f aca="false">IF(F1033&lt;G1033,"SI","NO")</f>
        <v>SI</v>
      </c>
    </row>
    <row r="1034" customFormat="false" ht="15" hidden="false" customHeight="false" outlineLevel="0" collapsed="false">
      <c r="A1034" s="0" t="s">
        <v>2682</v>
      </c>
      <c r="B1034" s="0" t="s">
        <v>2683</v>
      </c>
      <c r="C1034" s="0" t="s">
        <v>1859</v>
      </c>
      <c r="D1034" s="2" t="s">
        <v>19</v>
      </c>
      <c r="E1034" s="0" t="str">
        <f aca="false">VLOOKUP(D1034,Fornitori!$A$2:$C$6,2,FALSE())</f>
        <v>Elettrotecnica Ferri</v>
      </c>
      <c r="F1034" s="0" t="n">
        <v>30</v>
      </c>
      <c r="G1034" s="0" t="n">
        <v>11</v>
      </c>
      <c r="H1034" s="0" t="str">
        <f aca="false">IF(F1034&lt;G1034,"SI","NO")</f>
        <v>NO</v>
      </c>
    </row>
    <row r="1035" customFormat="false" ht="15" hidden="false" customHeight="false" outlineLevel="0" collapsed="false">
      <c r="A1035" s="0" t="s">
        <v>2684</v>
      </c>
      <c r="B1035" s="0" t="s">
        <v>2685</v>
      </c>
      <c r="C1035" s="0" t="s">
        <v>1732</v>
      </c>
      <c r="D1035" s="2" t="s">
        <v>23</v>
      </c>
      <c r="E1035" s="0" t="str">
        <f aca="false">VLOOKUP(D1035,Fornitori!$A$2:$C$6,2,FALSE())</f>
        <v>Pneumax Service</v>
      </c>
      <c r="F1035" s="0" t="n">
        <v>16</v>
      </c>
      <c r="G1035" s="0" t="n">
        <v>21</v>
      </c>
      <c r="H1035" s="0" t="str">
        <f aca="false">IF(F1035&lt;G1035,"SI","NO")</f>
        <v>SI</v>
      </c>
    </row>
    <row r="1036" customFormat="false" ht="15" hidden="false" customHeight="false" outlineLevel="0" collapsed="false">
      <c r="A1036" s="0" t="s">
        <v>2686</v>
      </c>
      <c r="B1036" s="0" t="s">
        <v>145</v>
      </c>
      <c r="C1036" s="0" t="s">
        <v>2687</v>
      </c>
      <c r="D1036" s="2" t="s">
        <v>27</v>
      </c>
      <c r="E1036" s="0" t="str">
        <f aca="false">VLOOKUP(D1036,Fornitori!$A$2:$C$6,2,FALSE())</f>
        <v>Guarnizioni Alpi</v>
      </c>
      <c r="F1036" s="0" t="n">
        <v>55</v>
      </c>
      <c r="G1036" s="0" t="n">
        <v>15</v>
      </c>
      <c r="H1036" s="0" t="str">
        <f aca="false">IF(F1036&lt;G1036,"SI","NO")</f>
        <v>NO</v>
      </c>
    </row>
    <row r="1037" customFormat="false" ht="15" hidden="false" customHeight="false" outlineLevel="0" collapsed="false">
      <c r="A1037" s="0" t="s">
        <v>2688</v>
      </c>
      <c r="B1037" s="0" t="s">
        <v>2689</v>
      </c>
      <c r="C1037" s="0" t="s">
        <v>2690</v>
      </c>
      <c r="D1037" s="2" t="s">
        <v>11</v>
      </c>
      <c r="E1037" s="0" t="str">
        <f aca="false">VLOOKUP(D1037,Fornitori!$A$2:$C$6,2,FALSE())</f>
        <v>Meccanica Bassi S.r.l.</v>
      </c>
      <c r="F1037" s="0" t="n">
        <v>46</v>
      </c>
      <c r="G1037" s="0" t="n">
        <v>24</v>
      </c>
      <c r="H1037" s="0" t="str">
        <f aca="false">IF(F1037&lt;G1037,"SI","NO")</f>
        <v>NO</v>
      </c>
    </row>
    <row r="1038" customFormat="false" ht="15" hidden="false" customHeight="false" outlineLevel="0" collapsed="false">
      <c r="A1038" s="0" t="s">
        <v>2691</v>
      </c>
      <c r="B1038" s="0" t="s">
        <v>2398</v>
      </c>
      <c r="C1038" s="0" t="s">
        <v>2692</v>
      </c>
      <c r="D1038" s="2" t="s">
        <v>15</v>
      </c>
      <c r="E1038" s="0" t="str">
        <f aca="false">VLOOKUP(D1038,Fornitori!$A$2:$C$6,2,FALSE())</f>
        <v>Rulmeca Italia</v>
      </c>
      <c r="F1038" s="0" t="n">
        <v>43</v>
      </c>
      <c r="G1038" s="0" t="n">
        <v>11</v>
      </c>
      <c r="H1038" s="0" t="str">
        <f aca="false">IF(F1038&lt;G1038,"SI","NO")</f>
        <v>NO</v>
      </c>
    </row>
    <row r="1039" customFormat="false" ht="15" hidden="false" customHeight="false" outlineLevel="0" collapsed="false">
      <c r="A1039" s="0" t="s">
        <v>2693</v>
      </c>
      <c r="B1039" s="0" t="s">
        <v>2694</v>
      </c>
      <c r="C1039" s="0" t="s">
        <v>2695</v>
      </c>
      <c r="D1039" s="2" t="s">
        <v>19</v>
      </c>
      <c r="E1039" s="0" t="str">
        <f aca="false">VLOOKUP(D1039,Fornitori!$A$2:$C$6,2,FALSE())</f>
        <v>Elettrotecnica Ferri</v>
      </c>
      <c r="F1039" s="0" t="n">
        <v>20</v>
      </c>
      <c r="G1039" s="0" t="n">
        <v>23</v>
      </c>
      <c r="H1039" s="0" t="str">
        <f aca="false">IF(F1039&lt;G1039,"SI","NO")</f>
        <v>SI</v>
      </c>
    </row>
    <row r="1040" customFormat="false" ht="15" hidden="false" customHeight="false" outlineLevel="0" collapsed="false">
      <c r="A1040" s="0" t="s">
        <v>2696</v>
      </c>
      <c r="B1040" s="0" t="s">
        <v>2697</v>
      </c>
      <c r="C1040" s="0" t="s">
        <v>837</v>
      </c>
      <c r="D1040" s="2" t="s">
        <v>23</v>
      </c>
      <c r="E1040" s="0" t="str">
        <f aca="false">VLOOKUP(D1040,Fornitori!$A$2:$C$6,2,FALSE())</f>
        <v>Pneumax Service</v>
      </c>
      <c r="F1040" s="0" t="n">
        <v>10</v>
      </c>
      <c r="G1040" s="0" t="n">
        <v>6</v>
      </c>
      <c r="H1040" s="0" t="str">
        <f aca="false">IF(F1040&lt;G1040,"SI","NO")</f>
        <v>NO</v>
      </c>
    </row>
    <row r="1041" customFormat="false" ht="15" hidden="false" customHeight="false" outlineLevel="0" collapsed="false">
      <c r="A1041" s="0" t="s">
        <v>2698</v>
      </c>
      <c r="B1041" s="0" t="s">
        <v>2699</v>
      </c>
      <c r="C1041" s="0" t="s">
        <v>2633</v>
      </c>
      <c r="D1041" s="2" t="s">
        <v>27</v>
      </c>
      <c r="E1041" s="0" t="str">
        <f aca="false">VLOOKUP(D1041,Fornitori!$A$2:$C$6,2,FALSE())</f>
        <v>Guarnizioni Alpi</v>
      </c>
      <c r="F1041" s="0" t="n">
        <v>32</v>
      </c>
      <c r="G1041" s="0" t="n">
        <v>9</v>
      </c>
      <c r="H1041" s="0" t="str">
        <f aca="false">IF(F1041&lt;G1041,"SI","NO")</f>
        <v>NO</v>
      </c>
    </row>
    <row r="1042" customFormat="false" ht="15" hidden="false" customHeight="false" outlineLevel="0" collapsed="false">
      <c r="A1042" s="0" t="s">
        <v>2700</v>
      </c>
      <c r="B1042" s="0" t="s">
        <v>1915</v>
      </c>
      <c r="C1042" s="0" t="s">
        <v>164</v>
      </c>
      <c r="D1042" s="2" t="s">
        <v>11</v>
      </c>
      <c r="E1042" s="0" t="str">
        <f aca="false">VLOOKUP(D1042,Fornitori!$A$2:$C$6,2,FALSE())</f>
        <v>Meccanica Bassi S.r.l.</v>
      </c>
      <c r="F1042" s="0" t="n">
        <v>1</v>
      </c>
      <c r="G1042" s="0" t="n">
        <v>24</v>
      </c>
      <c r="H1042" s="0" t="str">
        <f aca="false">IF(F1042&lt;G1042,"SI","NO")</f>
        <v>SI</v>
      </c>
    </row>
    <row r="1043" customFormat="false" ht="15" hidden="false" customHeight="false" outlineLevel="0" collapsed="false">
      <c r="A1043" s="0" t="s">
        <v>2701</v>
      </c>
      <c r="B1043" s="0" t="s">
        <v>2702</v>
      </c>
      <c r="C1043" s="0" t="s">
        <v>2703</v>
      </c>
      <c r="D1043" s="2" t="s">
        <v>15</v>
      </c>
      <c r="E1043" s="0" t="str">
        <f aca="false">VLOOKUP(D1043,Fornitori!$A$2:$C$6,2,FALSE())</f>
        <v>Rulmeca Italia</v>
      </c>
      <c r="F1043" s="0" t="n">
        <v>34</v>
      </c>
      <c r="G1043" s="0" t="n">
        <v>12</v>
      </c>
      <c r="H1043" s="0" t="str">
        <f aca="false">IF(F1043&lt;G1043,"SI","NO")</f>
        <v>NO</v>
      </c>
    </row>
    <row r="1044" customFormat="false" ht="15" hidden="false" customHeight="false" outlineLevel="0" collapsed="false">
      <c r="A1044" s="0" t="s">
        <v>2704</v>
      </c>
      <c r="B1044" s="0" t="s">
        <v>1393</v>
      </c>
      <c r="C1044" s="0" t="s">
        <v>2705</v>
      </c>
      <c r="D1044" s="2" t="s">
        <v>19</v>
      </c>
      <c r="E1044" s="0" t="str">
        <f aca="false">VLOOKUP(D1044,Fornitori!$A$2:$C$6,2,FALSE())</f>
        <v>Elettrotecnica Ferri</v>
      </c>
      <c r="F1044" s="0" t="n">
        <v>38</v>
      </c>
      <c r="G1044" s="0" t="n">
        <v>5</v>
      </c>
      <c r="H1044" s="0" t="str">
        <f aca="false">IF(F1044&lt;G1044,"SI","NO")</f>
        <v>NO</v>
      </c>
    </row>
    <row r="1045" customFormat="false" ht="15" hidden="false" customHeight="false" outlineLevel="0" collapsed="false">
      <c r="A1045" s="0" t="s">
        <v>2706</v>
      </c>
      <c r="B1045" s="0" t="s">
        <v>2707</v>
      </c>
      <c r="C1045" s="0" t="s">
        <v>2708</v>
      </c>
      <c r="D1045" s="2" t="s">
        <v>23</v>
      </c>
      <c r="E1045" s="0" t="str">
        <f aca="false">VLOOKUP(D1045,Fornitori!$A$2:$C$6,2,FALSE())</f>
        <v>Pneumax Service</v>
      </c>
      <c r="F1045" s="0" t="n">
        <v>1</v>
      </c>
      <c r="G1045" s="0" t="n">
        <v>24</v>
      </c>
      <c r="H1045" s="0" t="str">
        <f aca="false">IF(F1045&lt;G1045,"SI","NO")</f>
        <v>SI</v>
      </c>
    </row>
    <row r="1046" customFormat="false" ht="15" hidden="false" customHeight="false" outlineLevel="0" collapsed="false">
      <c r="A1046" s="0" t="s">
        <v>2709</v>
      </c>
      <c r="B1046" s="0" t="s">
        <v>2710</v>
      </c>
      <c r="C1046" s="0" t="s">
        <v>2463</v>
      </c>
      <c r="D1046" s="2" t="s">
        <v>27</v>
      </c>
      <c r="E1046" s="0" t="str">
        <f aca="false">VLOOKUP(D1046,Fornitori!$A$2:$C$6,2,FALSE())</f>
        <v>Guarnizioni Alpi</v>
      </c>
      <c r="F1046" s="0" t="n">
        <v>42</v>
      </c>
      <c r="G1046" s="0" t="n">
        <v>13</v>
      </c>
      <c r="H1046" s="0" t="str">
        <f aca="false">IF(F1046&lt;G1046,"SI","NO")</f>
        <v>NO</v>
      </c>
    </row>
    <row r="1047" customFormat="false" ht="15" hidden="false" customHeight="false" outlineLevel="0" collapsed="false">
      <c r="A1047" s="0" t="s">
        <v>2711</v>
      </c>
      <c r="B1047" s="0" t="s">
        <v>2712</v>
      </c>
      <c r="C1047" s="0" t="s">
        <v>2713</v>
      </c>
      <c r="D1047" s="2" t="s">
        <v>11</v>
      </c>
      <c r="E1047" s="0" t="str">
        <f aca="false">VLOOKUP(D1047,Fornitori!$A$2:$C$6,2,FALSE())</f>
        <v>Meccanica Bassi S.r.l.</v>
      </c>
      <c r="F1047" s="0" t="n">
        <v>50</v>
      </c>
      <c r="G1047" s="0" t="n">
        <v>13</v>
      </c>
      <c r="H1047" s="0" t="str">
        <f aca="false">IF(F1047&lt;G1047,"SI","NO")</f>
        <v>NO</v>
      </c>
    </row>
    <row r="1048" customFormat="false" ht="15" hidden="false" customHeight="false" outlineLevel="0" collapsed="false">
      <c r="A1048" s="0" t="s">
        <v>2714</v>
      </c>
      <c r="B1048" s="0" t="s">
        <v>2715</v>
      </c>
      <c r="C1048" s="0" t="s">
        <v>2716</v>
      </c>
      <c r="D1048" s="2" t="s">
        <v>15</v>
      </c>
      <c r="E1048" s="0" t="str">
        <f aca="false">VLOOKUP(D1048,Fornitori!$A$2:$C$6,2,FALSE())</f>
        <v>Rulmeca Italia</v>
      </c>
      <c r="F1048" s="0" t="n">
        <v>5</v>
      </c>
      <c r="G1048" s="0" t="n">
        <v>22</v>
      </c>
      <c r="H1048" s="0" t="str">
        <f aca="false">IF(F1048&lt;G1048,"SI","NO")</f>
        <v>SI</v>
      </c>
    </row>
    <row r="1049" customFormat="false" ht="15" hidden="false" customHeight="false" outlineLevel="0" collapsed="false">
      <c r="A1049" s="0" t="s">
        <v>2717</v>
      </c>
      <c r="B1049" s="0" t="s">
        <v>2046</v>
      </c>
      <c r="C1049" s="0" t="s">
        <v>2718</v>
      </c>
      <c r="D1049" s="2" t="s">
        <v>19</v>
      </c>
      <c r="E1049" s="0" t="str">
        <f aca="false">VLOOKUP(D1049,Fornitori!$A$2:$C$6,2,FALSE())</f>
        <v>Elettrotecnica Ferri</v>
      </c>
      <c r="F1049" s="0" t="n">
        <v>34</v>
      </c>
      <c r="G1049" s="0" t="n">
        <v>19</v>
      </c>
      <c r="H1049" s="0" t="str">
        <f aca="false">IF(F1049&lt;G1049,"SI","NO")</f>
        <v>NO</v>
      </c>
    </row>
    <row r="1050" customFormat="false" ht="15" hidden="false" customHeight="false" outlineLevel="0" collapsed="false">
      <c r="A1050" s="0" t="s">
        <v>2719</v>
      </c>
      <c r="B1050" s="0" t="s">
        <v>2720</v>
      </c>
      <c r="C1050" s="0" t="s">
        <v>2721</v>
      </c>
      <c r="D1050" s="2" t="s">
        <v>23</v>
      </c>
      <c r="E1050" s="0" t="str">
        <f aca="false">VLOOKUP(D1050,Fornitori!$A$2:$C$6,2,FALSE())</f>
        <v>Pneumax Service</v>
      </c>
      <c r="F1050" s="0" t="n">
        <v>17</v>
      </c>
      <c r="G1050" s="0" t="n">
        <v>21</v>
      </c>
      <c r="H1050" s="0" t="str">
        <f aca="false">IF(F1050&lt;G1050,"SI","NO")</f>
        <v>SI</v>
      </c>
    </row>
    <row r="1051" customFormat="false" ht="15" hidden="false" customHeight="false" outlineLevel="0" collapsed="false">
      <c r="A1051" s="0" t="s">
        <v>2722</v>
      </c>
      <c r="B1051" s="0" t="s">
        <v>2723</v>
      </c>
      <c r="C1051" s="0" t="s">
        <v>535</v>
      </c>
      <c r="D1051" s="2" t="s">
        <v>27</v>
      </c>
      <c r="E1051" s="0" t="str">
        <f aca="false">VLOOKUP(D1051,Fornitori!$A$2:$C$6,2,FALSE())</f>
        <v>Guarnizioni Alpi</v>
      </c>
      <c r="F1051" s="0" t="n">
        <v>14</v>
      </c>
      <c r="G1051" s="0" t="n">
        <v>8</v>
      </c>
      <c r="H1051" s="0" t="str">
        <f aca="false">IF(F1051&lt;G1051,"SI","NO")</f>
        <v>NO</v>
      </c>
    </row>
    <row r="1052" customFormat="false" ht="15" hidden="false" customHeight="false" outlineLevel="0" collapsed="false">
      <c r="A1052" s="0" t="s">
        <v>2724</v>
      </c>
      <c r="B1052" s="0" t="s">
        <v>1362</v>
      </c>
      <c r="C1052" s="0" t="s">
        <v>2725</v>
      </c>
      <c r="D1052" s="2" t="s">
        <v>11</v>
      </c>
      <c r="E1052" s="0" t="str">
        <f aca="false">VLOOKUP(D1052,Fornitori!$A$2:$C$6,2,FALSE())</f>
        <v>Meccanica Bassi S.r.l.</v>
      </c>
      <c r="F1052" s="0" t="n">
        <v>22</v>
      </c>
      <c r="G1052" s="0" t="n">
        <v>21</v>
      </c>
      <c r="H1052" s="0" t="str">
        <f aca="false">IF(F1052&lt;G1052,"SI","NO")</f>
        <v>NO</v>
      </c>
    </row>
    <row r="1053" customFormat="false" ht="15" hidden="false" customHeight="false" outlineLevel="0" collapsed="false">
      <c r="A1053" s="0" t="s">
        <v>2726</v>
      </c>
      <c r="B1053" s="0" t="s">
        <v>2727</v>
      </c>
      <c r="C1053" s="0" t="s">
        <v>1326</v>
      </c>
      <c r="D1053" s="2" t="s">
        <v>15</v>
      </c>
      <c r="E1053" s="0" t="str">
        <f aca="false">VLOOKUP(D1053,Fornitori!$A$2:$C$6,2,FALSE())</f>
        <v>Rulmeca Italia</v>
      </c>
      <c r="F1053" s="0" t="n">
        <v>10</v>
      </c>
      <c r="G1053" s="0" t="n">
        <v>16</v>
      </c>
      <c r="H1053" s="0" t="str">
        <f aca="false">IF(F1053&lt;G1053,"SI","NO")</f>
        <v>SI</v>
      </c>
    </row>
    <row r="1054" customFormat="false" ht="15" hidden="false" customHeight="false" outlineLevel="0" collapsed="false">
      <c r="A1054" s="0" t="s">
        <v>2728</v>
      </c>
      <c r="B1054" s="0" t="s">
        <v>2729</v>
      </c>
      <c r="C1054" s="0" t="s">
        <v>2730</v>
      </c>
      <c r="D1054" s="2" t="s">
        <v>19</v>
      </c>
      <c r="E1054" s="0" t="str">
        <f aca="false">VLOOKUP(D1054,Fornitori!$A$2:$C$6,2,FALSE())</f>
        <v>Elettrotecnica Ferri</v>
      </c>
      <c r="F1054" s="0" t="n">
        <v>48</v>
      </c>
      <c r="G1054" s="0" t="n">
        <v>9</v>
      </c>
      <c r="H1054" s="0" t="str">
        <f aca="false">IF(F1054&lt;G1054,"SI","NO")</f>
        <v>NO</v>
      </c>
    </row>
    <row r="1055" customFormat="false" ht="15" hidden="false" customHeight="false" outlineLevel="0" collapsed="false">
      <c r="A1055" s="0" t="s">
        <v>2731</v>
      </c>
      <c r="B1055" s="0" t="s">
        <v>2732</v>
      </c>
      <c r="C1055" s="0" t="s">
        <v>1247</v>
      </c>
      <c r="D1055" s="2" t="s">
        <v>23</v>
      </c>
      <c r="E1055" s="0" t="str">
        <f aca="false">VLOOKUP(D1055,Fornitori!$A$2:$C$6,2,FALSE())</f>
        <v>Pneumax Service</v>
      </c>
      <c r="F1055" s="0" t="n">
        <v>50</v>
      </c>
      <c r="G1055" s="0" t="n">
        <v>11</v>
      </c>
      <c r="H1055" s="0" t="str">
        <f aca="false">IF(F1055&lt;G1055,"SI","NO")</f>
        <v>NO</v>
      </c>
    </row>
    <row r="1056" customFormat="false" ht="15" hidden="false" customHeight="false" outlineLevel="0" collapsed="false">
      <c r="A1056" s="0" t="s">
        <v>2733</v>
      </c>
      <c r="B1056" s="0" t="s">
        <v>2465</v>
      </c>
      <c r="C1056" s="0" t="s">
        <v>2734</v>
      </c>
      <c r="D1056" s="2" t="s">
        <v>27</v>
      </c>
      <c r="E1056" s="0" t="str">
        <f aca="false">VLOOKUP(D1056,Fornitori!$A$2:$C$6,2,FALSE())</f>
        <v>Guarnizioni Alpi</v>
      </c>
      <c r="F1056" s="0" t="n">
        <v>22</v>
      </c>
      <c r="G1056" s="0" t="n">
        <v>8</v>
      </c>
      <c r="H1056" s="0" t="str">
        <f aca="false">IF(F1056&lt;G1056,"SI","NO")</f>
        <v>NO</v>
      </c>
    </row>
    <row r="1057" customFormat="false" ht="15" hidden="false" customHeight="false" outlineLevel="0" collapsed="false">
      <c r="A1057" s="0" t="s">
        <v>2735</v>
      </c>
      <c r="B1057" s="0" t="s">
        <v>2736</v>
      </c>
      <c r="C1057" s="0" t="s">
        <v>682</v>
      </c>
      <c r="D1057" s="2" t="s">
        <v>11</v>
      </c>
      <c r="E1057" s="0" t="str">
        <f aca="false">VLOOKUP(D1057,Fornitori!$A$2:$C$6,2,FALSE())</f>
        <v>Meccanica Bassi S.r.l.</v>
      </c>
      <c r="F1057" s="0" t="n">
        <v>53</v>
      </c>
      <c r="G1057" s="0" t="n">
        <v>11</v>
      </c>
      <c r="H1057" s="0" t="str">
        <f aca="false">IF(F1057&lt;G1057,"SI","NO")</f>
        <v>NO</v>
      </c>
    </row>
    <row r="1058" customFormat="false" ht="15" hidden="false" customHeight="false" outlineLevel="0" collapsed="false">
      <c r="A1058" s="0" t="s">
        <v>2737</v>
      </c>
      <c r="B1058" s="0" t="s">
        <v>471</v>
      </c>
      <c r="C1058" s="0" t="s">
        <v>2738</v>
      </c>
      <c r="D1058" s="2" t="s">
        <v>15</v>
      </c>
      <c r="E1058" s="0" t="str">
        <f aca="false">VLOOKUP(D1058,Fornitori!$A$2:$C$6,2,FALSE())</f>
        <v>Rulmeca Italia</v>
      </c>
      <c r="F1058" s="0" t="n">
        <v>50</v>
      </c>
      <c r="G1058" s="0" t="n">
        <v>9</v>
      </c>
      <c r="H1058" s="0" t="str">
        <f aca="false">IF(F1058&lt;G1058,"SI","NO")</f>
        <v>NO</v>
      </c>
    </row>
    <row r="1059" customFormat="false" ht="15" hidden="false" customHeight="false" outlineLevel="0" collapsed="false">
      <c r="A1059" s="0" t="s">
        <v>2739</v>
      </c>
      <c r="B1059" s="0" t="s">
        <v>2740</v>
      </c>
      <c r="C1059" s="0" t="s">
        <v>2741</v>
      </c>
      <c r="D1059" s="2" t="s">
        <v>19</v>
      </c>
      <c r="E1059" s="0" t="str">
        <f aca="false">VLOOKUP(D1059,Fornitori!$A$2:$C$6,2,FALSE())</f>
        <v>Elettrotecnica Ferri</v>
      </c>
      <c r="F1059" s="0" t="n">
        <v>6</v>
      </c>
      <c r="G1059" s="0" t="n">
        <v>18</v>
      </c>
      <c r="H1059" s="0" t="str">
        <f aca="false">IF(F1059&lt;G1059,"SI","NO")</f>
        <v>SI</v>
      </c>
    </row>
    <row r="1060" customFormat="false" ht="15" hidden="false" customHeight="false" outlineLevel="0" collapsed="false">
      <c r="A1060" s="0" t="s">
        <v>2742</v>
      </c>
      <c r="B1060" s="0" t="s">
        <v>2743</v>
      </c>
      <c r="C1060" s="0" t="s">
        <v>2744</v>
      </c>
      <c r="D1060" s="2" t="s">
        <v>23</v>
      </c>
      <c r="E1060" s="0" t="str">
        <f aca="false">VLOOKUP(D1060,Fornitori!$A$2:$C$6,2,FALSE())</f>
        <v>Pneumax Service</v>
      </c>
      <c r="F1060" s="0" t="n">
        <v>6</v>
      </c>
      <c r="G1060" s="0" t="n">
        <v>9</v>
      </c>
      <c r="H1060" s="0" t="str">
        <f aca="false">IF(F1060&lt;G1060,"SI","NO")</f>
        <v>SI</v>
      </c>
    </row>
    <row r="1061" customFormat="false" ht="15" hidden="false" customHeight="false" outlineLevel="0" collapsed="false">
      <c r="A1061" s="0" t="s">
        <v>2745</v>
      </c>
      <c r="B1061" s="0" t="s">
        <v>2746</v>
      </c>
      <c r="C1061" s="0" t="s">
        <v>2399</v>
      </c>
      <c r="D1061" s="2" t="s">
        <v>27</v>
      </c>
      <c r="E1061" s="0" t="str">
        <f aca="false">VLOOKUP(D1061,Fornitori!$A$2:$C$6,2,FALSE())</f>
        <v>Guarnizioni Alpi</v>
      </c>
      <c r="F1061" s="0" t="n">
        <v>41</v>
      </c>
      <c r="G1061" s="0" t="n">
        <v>18</v>
      </c>
      <c r="H1061" s="0" t="str">
        <f aca="false">IF(F1061&lt;G1061,"SI","NO")</f>
        <v>NO</v>
      </c>
    </row>
    <row r="1062" customFormat="false" ht="15" hidden="false" customHeight="false" outlineLevel="0" collapsed="false">
      <c r="A1062" s="0" t="s">
        <v>2747</v>
      </c>
      <c r="B1062" s="0" t="s">
        <v>1044</v>
      </c>
      <c r="C1062" s="0" t="s">
        <v>2413</v>
      </c>
      <c r="D1062" s="2" t="s">
        <v>11</v>
      </c>
      <c r="E1062" s="0" t="str">
        <f aca="false">VLOOKUP(D1062,Fornitori!$A$2:$C$6,2,FALSE())</f>
        <v>Meccanica Bassi S.r.l.</v>
      </c>
      <c r="F1062" s="0" t="n">
        <v>46</v>
      </c>
      <c r="G1062" s="0" t="n">
        <v>23</v>
      </c>
      <c r="H1062" s="0" t="str">
        <f aca="false">IF(F1062&lt;G1062,"SI","NO")</f>
        <v>NO</v>
      </c>
    </row>
    <row r="1063" customFormat="false" ht="15" hidden="false" customHeight="false" outlineLevel="0" collapsed="false">
      <c r="A1063" s="0" t="s">
        <v>2748</v>
      </c>
      <c r="B1063" s="0" t="s">
        <v>196</v>
      </c>
      <c r="C1063" s="0" t="s">
        <v>2749</v>
      </c>
      <c r="D1063" s="2" t="s">
        <v>15</v>
      </c>
      <c r="E1063" s="0" t="str">
        <f aca="false">VLOOKUP(D1063,Fornitori!$A$2:$C$6,2,FALSE())</f>
        <v>Rulmeca Italia</v>
      </c>
      <c r="F1063" s="0" t="n">
        <v>12</v>
      </c>
      <c r="G1063" s="0" t="n">
        <v>19</v>
      </c>
      <c r="H1063" s="0" t="str">
        <f aca="false">IF(F1063&lt;G1063,"SI","NO")</f>
        <v>SI</v>
      </c>
    </row>
    <row r="1064" customFormat="false" ht="15" hidden="false" customHeight="false" outlineLevel="0" collapsed="false">
      <c r="A1064" s="0" t="s">
        <v>2750</v>
      </c>
      <c r="B1064" s="0" t="s">
        <v>2751</v>
      </c>
      <c r="C1064" s="0" t="s">
        <v>2227</v>
      </c>
      <c r="D1064" s="2" t="s">
        <v>19</v>
      </c>
      <c r="E1064" s="0" t="str">
        <f aca="false">VLOOKUP(D1064,Fornitori!$A$2:$C$6,2,FALSE())</f>
        <v>Elettrotecnica Ferri</v>
      </c>
      <c r="F1064" s="0" t="n">
        <v>2</v>
      </c>
      <c r="G1064" s="0" t="n">
        <v>23</v>
      </c>
      <c r="H1064" s="0" t="str">
        <f aca="false">IF(F1064&lt;G1064,"SI","NO")</f>
        <v>SI</v>
      </c>
    </row>
    <row r="1065" customFormat="false" ht="15" hidden="false" customHeight="false" outlineLevel="0" collapsed="false">
      <c r="A1065" s="0" t="s">
        <v>2752</v>
      </c>
      <c r="B1065" s="0" t="s">
        <v>2753</v>
      </c>
      <c r="C1065" s="0" t="s">
        <v>2744</v>
      </c>
      <c r="D1065" s="2" t="s">
        <v>23</v>
      </c>
      <c r="E1065" s="0" t="str">
        <f aca="false">VLOOKUP(D1065,Fornitori!$A$2:$C$6,2,FALSE())</f>
        <v>Pneumax Service</v>
      </c>
      <c r="F1065" s="0" t="n">
        <v>49</v>
      </c>
      <c r="G1065" s="0" t="n">
        <v>14</v>
      </c>
      <c r="H1065" s="0" t="str">
        <f aca="false">IF(F1065&lt;G1065,"SI","NO")</f>
        <v>NO</v>
      </c>
    </row>
    <row r="1066" customFormat="false" ht="15" hidden="false" customHeight="false" outlineLevel="0" collapsed="false">
      <c r="A1066" s="0" t="s">
        <v>2754</v>
      </c>
      <c r="B1066" s="0" t="s">
        <v>2755</v>
      </c>
      <c r="C1066" s="0" t="s">
        <v>1095</v>
      </c>
      <c r="D1066" s="2" t="s">
        <v>27</v>
      </c>
      <c r="E1066" s="0" t="str">
        <f aca="false">VLOOKUP(D1066,Fornitori!$A$2:$C$6,2,FALSE())</f>
        <v>Guarnizioni Alpi</v>
      </c>
      <c r="F1066" s="0" t="n">
        <v>23</v>
      </c>
      <c r="G1066" s="0" t="n">
        <v>8</v>
      </c>
      <c r="H1066" s="0" t="str">
        <f aca="false">IF(F1066&lt;G1066,"SI","NO")</f>
        <v>NO</v>
      </c>
    </row>
    <row r="1067" customFormat="false" ht="15" hidden="false" customHeight="false" outlineLevel="0" collapsed="false">
      <c r="A1067" s="0" t="s">
        <v>2756</v>
      </c>
      <c r="B1067" s="0" t="s">
        <v>528</v>
      </c>
      <c r="C1067" s="0" t="s">
        <v>2463</v>
      </c>
      <c r="D1067" s="2" t="s">
        <v>11</v>
      </c>
      <c r="E1067" s="0" t="str">
        <f aca="false">VLOOKUP(D1067,Fornitori!$A$2:$C$6,2,FALSE())</f>
        <v>Meccanica Bassi S.r.l.</v>
      </c>
      <c r="F1067" s="0" t="n">
        <v>9</v>
      </c>
      <c r="G1067" s="0" t="n">
        <v>13</v>
      </c>
      <c r="H1067" s="0" t="str">
        <f aca="false">IF(F1067&lt;G1067,"SI","NO")</f>
        <v>SI</v>
      </c>
    </row>
    <row r="1068" customFormat="false" ht="15" hidden="false" customHeight="false" outlineLevel="0" collapsed="false">
      <c r="A1068" s="0" t="s">
        <v>2757</v>
      </c>
      <c r="B1068" s="0" t="s">
        <v>2715</v>
      </c>
      <c r="C1068" s="0" t="s">
        <v>1386</v>
      </c>
      <c r="D1068" s="2" t="s">
        <v>15</v>
      </c>
      <c r="E1068" s="0" t="str">
        <f aca="false">VLOOKUP(D1068,Fornitori!$A$2:$C$6,2,FALSE())</f>
        <v>Rulmeca Italia</v>
      </c>
      <c r="F1068" s="0" t="n">
        <v>13</v>
      </c>
      <c r="G1068" s="0" t="n">
        <v>7</v>
      </c>
      <c r="H1068" s="0" t="str">
        <f aca="false">IF(F1068&lt;G1068,"SI","NO")</f>
        <v>NO</v>
      </c>
    </row>
    <row r="1069" customFormat="false" ht="15" hidden="false" customHeight="false" outlineLevel="0" collapsed="false">
      <c r="A1069" s="0" t="s">
        <v>2758</v>
      </c>
      <c r="B1069" s="0" t="s">
        <v>1354</v>
      </c>
      <c r="C1069" s="0" t="s">
        <v>2759</v>
      </c>
      <c r="D1069" s="2" t="s">
        <v>19</v>
      </c>
      <c r="E1069" s="0" t="str">
        <f aca="false">VLOOKUP(D1069,Fornitori!$A$2:$C$6,2,FALSE())</f>
        <v>Elettrotecnica Ferri</v>
      </c>
      <c r="F1069" s="0" t="n">
        <v>11</v>
      </c>
      <c r="G1069" s="0" t="n">
        <v>13</v>
      </c>
      <c r="H1069" s="0" t="str">
        <f aca="false">IF(F1069&lt;G1069,"SI","NO")</f>
        <v>SI</v>
      </c>
    </row>
    <row r="1070" customFormat="false" ht="15" hidden="false" customHeight="false" outlineLevel="0" collapsed="false">
      <c r="A1070" s="0" t="s">
        <v>2760</v>
      </c>
      <c r="B1070" s="0" t="s">
        <v>2761</v>
      </c>
      <c r="C1070" s="0" t="s">
        <v>983</v>
      </c>
      <c r="D1070" s="2" t="s">
        <v>23</v>
      </c>
      <c r="E1070" s="0" t="str">
        <f aca="false">VLOOKUP(D1070,Fornitori!$A$2:$C$6,2,FALSE())</f>
        <v>Pneumax Service</v>
      </c>
      <c r="F1070" s="0" t="n">
        <v>15</v>
      </c>
      <c r="G1070" s="0" t="n">
        <v>18</v>
      </c>
      <c r="H1070" s="0" t="str">
        <f aca="false">IF(F1070&lt;G1070,"SI","NO")</f>
        <v>SI</v>
      </c>
    </row>
    <row r="1071" customFormat="false" ht="15" hidden="false" customHeight="false" outlineLevel="0" collapsed="false">
      <c r="A1071" s="0" t="s">
        <v>2762</v>
      </c>
      <c r="B1071" s="0" t="s">
        <v>2763</v>
      </c>
      <c r="C1071" s="0" t="s">
        <v>666</v>
      </c>
      <c r="D1071" s="2" t="s">
        <v>27</v>
      </c>
      <c r="E1071" s="0" t="str">
        <f aca="false">VLOOKUP(D1071,Fornitori!$A$2:$C$6,2,FALSE())</f>
        <v>Guarnizioni Alpi</v>
      </c>
      <c r="F1071" s="0" t="n">
        <v>47</v>
      </c>
      <c r="G1071" s="0" t="n">
        <v>8</v>
      </c>
      <c r="H1071" s="0" t="str">
        <f aca="false">IF(F1071&lt;G1071,"SI","NO")</f>
        <v>NO</v>
      </c>
    </row>
    <row r="1072" customFormat="false" ht="15" hidden="false" customHeight="false" outlineLevel="0" collapsed="false">
      <c r="A1072" s="0" t="s">
        <v>2764</v>
      </c>
      <c r="B1072" s="0" t="s">
        <v>2765</v>
      </c>
      <c r="C1072" s="0" t="s">
        <v>2766</v>
      </c>
      <c r="D1072" s="2" t="s">
        <v>11</v>
      </c>
      <c r="E1072" s="0" t="str">
        <f aca="false">VLOOKUP(D1072,Fornitori!$A$2:$C$6,2,FALSE())</f>
        <v>Meccanica Bassi S.r.l.</v>
      </c>
      <c r="F1072" s="0" t="n">
        <v>22</v>
      </c>
      <c r="G1072" s="0" t="n">
        <v>6</v>
      </c>
      <c r="H1072" s="0" t="str">
        <f aca="false">IF(F1072&lt;G1072,"SI","NO")</f>
        <v>NO</v>
      </c>
    </row>
    <row r="1073" customFormat="false" ht="15" hidden="false" customHeight="false" outlineLevel="0" collapsed="false">
      <c r="A1073" s="0" t="s">
        <v>2767</v>
      </c>
      <c r="B1073" s="0" t="s">
        <v>2768</v>
      </c>
      <c r="C1073" s="0" t="s">
        <v>871</v>
      </c>
      <c r="D1073" s="2" t="s">
        <v>15</v>
      </c>
      <c r="E1073" s="0" t="str">
        <f aca="false">VLOOKUP(D1073,Fornitori!$A$2:$C$6,2,FALSE())</f>
        <v>Rulmeca Italia</v>
      </c>
      <c r="F1073" s="0" t="n">
        <v>25</v>
      </c>
      <c r="G1073" s="0" t="n">
        <v>12</v>
      </c>
      <c r="H1073" s="0" t="str">
        <f aca="false">IF(F1073&lt;G1073,"SI","NO")</f>
        <v>NO</v>
      </c>
    </row>
    <row r="1074" customFormat="false" ht="15" hidden="false" customHeight="false" outlineLevel="0" collapsed="false">
      <c r="A1074" s="0" t="s">
        <v>2769</v>
      </c>
      <c r="B1074" s="0" t="s">
        <v>2770</v>
      </c>
      <c r="C1074" s="0" t="s">
        <v>948</v>
      </c>
      <c r="D1074" s="2" t="s">
        <v>19</v>
      </c>
      <c r="E1074" s="0" t="str">
        <f aca="false">VLOOKUP(D1074,Fornitori!$A$2:$C$6,2,FALSE())</f>
        <v>Elettrotecnica Ferri</v>
      </c>
      <c r="F1074" s="0" t="n">
        <v>32</v>
      </c>
      <c r="G1074" s="0" t="n">
        <v>19</v>
      </c>
      <c r="H1074" s="0" t="str">
        <f aca="false">IF(F1074&lt;G1074,"SI","NO")</f>
        <v>NO</v>
      </c>
    </row>
    <row r="1075" customFormat="false" ht="15" hidden="false" customHeight="false" outlineLevel="0" collapsed="false">
      <c r="A1075" s="0" t="s">
        <v>2771</v>
      </c>
      <c r="B1075" s="0" t="s">
        <v>2772</v>
      </c>
      <c r="C1075" s="0" t="s">
        <v>2773</v>
      </c>
      <c r="D1075" s="2" t="s">
        <v>23</v>
      </c>
      <c r="E1075" s="0" t="str">
        <f aca="false">VLOOKUP(D1075,Fornitori!$A$2:$C$6,2,FALSE())</f>
        <v>Pneumax Service</v>
      </c>
      <c r="F1075" s="0" t="n">
        <v>52</v>
      </c>
      <c r="G1075" s="0" t="n">
        <v>18</v>
      </c>
      <c r="H1075" s="0" t="str">
        <f aca="false">IF(F1075&lt;G1075,"SI","NO")</f>
        <v>NO</v>
      </c>
    </row>
    <row r="1076" customFormat="false" ht="15" hidden="false" customHeight="false" outlineLevel="0" collapsed="false">
      <c r="A1076" s="0" t="s">
        <v>2774</v>
      </c>
      <c r="B1076" s="0" t="s">
        <v>2775</v>
      </c>
      <c r="C1076" s="0" t="s">
        <v>14</v>
      </c>
      <c r="D1076" s="2" t="s">
        <v>27</v>
      </c>
      <c r="E1076" s="0" t="str">
        <f aca="false">VLOOKUP(D1076,Fornitori!$A$2:$C$6,2,FALSE())</f>
        <v>Guarnizioni Alpi</v>
      </c>
      <c r="F1076" s="0" t="n">
        <v>29</v>
      </c>
      <c r="G1076" s="0" t="n">
        <v>23</v>
      </c>
      <c r="H1076" s="0" t="str">
        <f aca="false">IF(F1076&lt;G1076,"SI","NO")</f>
        <v>NO</v>
      </c>
    </row>
    <row r="1077" customFormat="false" ht="15" hidden="false" customHeight="false" outlineLevel="0" collapsed="false">
      <c r="A1077" s="0" t="s">
        <v>2776</v>
      </c>
      <c r="B1077" s="0" t="s">
        <v>1948</v>
      </c>
      <c r="C1077" s="0" t="s">
        <v>893</v>
      </c>
      <c r="D1077" s="2" t="s">
        <v>11</v>
      </c>
      <c r="E1077" s="0" t="str">
        <f aca="false">VLOOKUP(D1077,Fornitori!$A$2:$C$6,2,FALSE())</f>
        <v>Meccanica Bassi S.r.l.</v>
      </c>
      <c r="F1077" s="0" t="n">
        <v>23</v>
      </c>
      <c r="G1077" s="0" t="n">
        <v>18</v>
      </c>
      <c r="H1077" s="0" t="str">
        <f aca="false">IF(F1077&lt;G1077,"SI","NO")</f>
        <v>NO</v>
      </c>
    </row>
    <row r="1078" customFormat="false" ht="15" hidden="false" customHeight="false" outlineLevel="0" collapsed="false">
      <c r="A1078" s="0" t="s">
        <v>2777</v>
      </c>
      <c r="B1078" s="0" t="s">
        <v>2778</v>
      </c>
      <c r="C1078" s="0" t="s">
        <v>1397</v>
      </c>
      <c r="D1078" s="2" t="s">
        <v>15</v>
      </c>
      <c r="E1078" s="0" t="str">
        <f aca="false">VLOOKUP(D1078,Fornitori!$A$2:$C$6,2,FALSE())</f>
        <v>Rulmeca Italia</v>
      </c>
      <c r="F1078" s="0" t="n">
        <v>40</v>
      </c>
      <c r="G1078" s="0" t="n">
        <v>10</v>
      </c>
      <c r="H1078" s="0" t="str">
        <f aca="false">IF(F1078&lt;G1078,"SI","NO")</f>
        <v>NO</v>
      </c>
    </row>
    <row r="1079" customFormat="false" ht="15" hidden="false" customHeight="false" outlineLevel="0" collapsed="false">
      <c r="A1079" s="0" t="s">
        <v>2779</v>
      </c>
      <c r="B1079" s="0" t="s">
        <v>895</v>
      </c>
      <c r="C1079" s="0" t="s">
        <v>2136</v>
      </c>
      <c r="D1079" s="2" t="s">
        <v>19</v>
      </c>
      <c r="E1079" s="0" t="str">
        <f aca="false">VLOOKUP(D1079,Fornitori!$A$2:$C$6,2,FALSE())</f>
        <v>Elettrotecnica Ferri</v>
      </c>
      <c r="F1079" s="0" t="n">
        <v>45</v>
      </c>
      <c r="G1079" s="0" t="n">
        <v>11</v>
      </c>
      <c r="H1079" s="0" t="str">
        <f aca="false">IF(F1079&lt;G1079,"SI","NO")</f>
        <v>NO</v>
      </c>
    </row>
    <row r="1080" customFormat="false" ht="15" hidden="false" customHeight="false" outlineLevel="0" collapsed="false">
      <c r="A1080" s="0" t="s">
        <v>2780</v>
      </c>
      <c r="B1080" s="0" t="s">
        <v>2781</v>
      </c>
      <c r="C1080" s="0" t="s">
        <v>2782</v>
      </c>
      <c r="D1080" s="2" t="s">
        <v>23</v>
      </c>
      <c r="E1080" s="0" t="str">
        <f aca="false">VLOOKUP(D1080,Fornitori!$A$2:$C$6,2,FALSE())</f>
        <v>Pneumax Service</v>
      </c>
      <c r="F1080" s="0" t="n">
        <v>42</v>
      </c>
      <c r="G1080" s="0" t="n">
        <v>14</v>
      </c>
      <c r="H1080" s="0" t="str">
        <f aca="false">IF(F1080&lt;G1080,"SI","NO")</f>
        <v>NO</v>
      </c>
    </row>
    <row r="1081" customFormat="false" ht="15" hidden="false" customHeight="false" outlineLevel="0" collapsed="false">
      <c r="A1081" s="0" t="s">
        <v>2783</v>
      </c>
      <c r="B1081" s="0" t="s">
        <v>2784</v>
      </c>
      <c r="C1081" s="0" t="s">
        <v>215</v>
      </c>
      <c r="D1081" s="2" t="s">
        <v>27</v>
      </c>
      <c r="E1081" s="0" t="str">
        <f aca="false">VLOOKUP(D1081,Fornitori!$A$2:$C$6,2,FALSE())</f>
        <v>Guarnizioni Alpi</v>
      </c>
      <c r="F1081" s="0" t="n">
        <v>33</v>
      </c>
      <c r="G1081" s="0" t="n">
        <v>24</v>
      </c>
      <c r="H1081" s="0" t="str">
        <f aca="false">IF(F1081&lt;G1081,"SI","NO")</f>
        <v>NO</v>
      </c>
    </row>
    <row r="1082" customFormat="false" ht="15" hidden="false" customHeight="false" outlineLevel="0" collapsed="false">
      <c r="A1082" s="0" t="s">
        <v>2785</v>
      </c>
      <c r="B1082" s="0" t="s">
        <v>2786</v>
      </c>
      <c r="C1082" s="0" t="s">
        <v>878</v>
      </c>
      <c r="D1082" s="2" t="s">
        <v>11</v>
      </c>
      <c r="E1082" s="0" t="str">
        <f aca="false">VLOOKUP(D1082,Fornitori!$A$2:$C$6,2,FALSE())</f>
        <v>Meccanica Bassi S.r.l.</v>
      </c>
      <c r="F1082" s="0" t="n">
        <v>42</v>
      </c>
      <c r="G1082" s="0" t="n">
        <v>7</v>
      </c>
      <c r="H1082" s="0" t="str">
        <f aca="false">IF(F1082&lt;G1082,"SI","NO")</f>
        <v>NO</v>
      </c>
    </row>
    <row r="1083" customFormat="false" ht="15" hidden="false" customHeight="false" outlineLevel="0" collapsed="false">
      <c r="A1083" s="0" t="s">
        <v>2787</v>
      </c>
      <c r="B1083" s="0" t="s">
        <v>2788</v>
      </c>
      <c r="C1083" s="0" t="s">
        <v>2789</v>
      </c>
      <c r="D1083" s="2" t="s">
        <v>15</v>
      </c>
      <c r="E1083" s="0" t="str">
        <f aca="false">VLOOKUP(D1083,Fornitori!$A$2:$C$6,2,FALSE())</f>
        <v>Rulmeca Italia</v>
      </c>
      <c r="F1083" s="0" t="n">
        <v>34</v>
      </c>
      <c r="G1083" s="0" t="n">
        <v>10</v>
      </c>
      <c r="H1083" s="0" t="str">
        <f aca="false">IF(F1083&lt;G1083,"SI","NO")</f>
        <v>NO</v>
      </c>
    </row>
    <row r="1084" customFormat="false" ht="15" hidden="false" customHeight="false" outlineLevel="0" collapsed="false">
      <c r="A1084" s="0" t="s">
        <v>2790</v>
      </c>
      <c r="B1084" s="0" t="s">
        <v>2791</v>
      </c>
      <c r="C1084" s="0" t="s">
        <v>328</v>
      </c>
      <c r="D1084" s="2" t="s">
        <v>19</v>
      </c>
      <c r="E1084" s="0" t="str">
        <f aca="false">VLOOKUP(D1084,Fornitori!$A$2:$C$6,2,FALSE())</f>
        <v>Elettrotecnica Ferri</v>
      </c>
      <c r="F1084" s="0" t="n">
        <v>49</v>
      </c>
      <c r="G1084" s="0" t="n">
        <v>16</v>
      </c>
      <c r="H1084" s="0" t="str">
        <f aca="false">IF(F1084&lt;G1084,"SI","NO")</f>
        <v>NO</v>
      </c>
    </row>
    <row r="1085" customFormat="false" ht="15" hidden="false" customHeight="false" outlineLevel="0" collapsed="false">
      <c r="A1085" s="0" t="s">
        <v>2792</v>
      </c>
      <c r="B1085" s="0" t="s">
        <v>2793</v>
      </c>
      <c r="C1085" s="0" t="s">
        <v>2794</v>
      </c>
      <c r="D1085" s="2" t="s">
        <v>23</v>
      </c>
      <c r="E1085" s="0" t="str">
        <f aca="false">VLOOKUP(D1085,Fornitori!$A$2:$C$6,2,FALSE())</f>
        <v>Pneumax Service</v>
      </c>
      <c r="F1085" s="0" t="n">
        <v>47</v>
      </c>
      <c r="G1085" s="0" t="n">
        <v>18</v>
      </c>
      <c r="H1085" s="0" t="str">
        <f aca="false">IF(F1085&lt;G1085,"SI","NO")</f>
        <v>NO</v>
      </c>
    </row>
    <row r="1086" customFormat="false" ht="15" hidden="false" customHeight="false" outlineLevel="0" collapsed="false">
      <c r="A1086" s="0" t="s">
        <v>2795</v>
      </c>
      <c r="B1086" s="0" t="s">
        <v>2796</v>
      </c>
      <c r="C1086" s="0" t="s">
        <v>2294</v>
      </c>
      <c r="D1086" s="2" t="s">
        <v>27</v>
      </c>
      <c r="E1086" s="0" t="str">
        <f aca="false">VLOOKUP(D1086,Fornitori!$A$2:$C$6,2,FALSE())</f>
        <v>Guarnizioni Alpi</v>
      </c>
      <c r="F1086" s="0" t="n">
        <v>28</v>
      </c>
      <c r="G1086" s="0" t="n">
        <v>17</v>
      </c>
      <c r="H1086" s="0" t="str">
        <f aca="false">IF(F1086&lt;G1086,"SI","NO")</f>
        <v>NO</v>
      </c>
    </row>
    <row r="1087" customFormat="false" ht="15" hidden="false" customHeight="false" outlineLevel="0" collapsed="false">
      <c r="A1087" s="0" t="s">
        <v>2797</v>
      </c>
      <c r="B1087" s="0" t="s">
        <v>2798</v>
      </c>
      <c r="C1087" s="0" t="s">
        <v>2799</v>
      </c>
      <c r="D1087" s="2" t="s">
        <v>11</v>
      </c>
      <c r="E1087" s="0" t="str">
        <f aca="false">VLOOKUP(D1087,Fornitori!$A$2:$C$6,2,FALSE())</f>
        <v>Meccanica Bassi S.r.l.</v>
      </c>
      <c r="F1087" s="0" t="n">
        <v>20</v>
      </c>
      <c r="G1087" s="0" t="n">
        <v>20</v>
      </c>
      <c r="H1087" s="0" t="str">
        <f aca="false">IF(F1087&lt;G1087,"SI","NO")</f>
        <v>NO</v>
      </c>
    </row>
    <row r="1088" customFormat="false" ht="15" hidden="false" customHeight="false" outlineLevel="0" collapsed="false">
      <c r="A1088" s="0" t="s">
        <v>2800</v>
      </c>
      <c r="B1088" s="0" t="s">
        <v>2801</v>
      </c>
      <c r="C1088" s="0" t="s">
        <v>1869</v>
      </c>
      <c r="D1088" s="2" t="s">
        <v>15</v>
      </c>
      <c r="E1088" s="0" t="str">
        <f aca="false">VLOOKUP(D1088,Fornitori!$A$2:$C$6,2,FALSE())</f>
        <v>Rulmeca Italia</v>
      </c>
      <c r="F1088" s="0" t="n">
        <v>2</v>
      </c>
      <c r="G1088" s="0" t="n">
        <v>19</v>
      </c>
      <c r="H1088" s="0" t="str">
        <f aca="false">IF(F1088&lt;G1088,"SI","NO")</f>
        <v>SI</v>
      </c>
    </row>
    <row r="1089" customFormat="false" ht="15" hidden="false" customHeight="false" outlineLevel="0" collapsed="false">
      <c r="A1089" s="0" t="s">
        <v>2802</v>
      </c>
      <c r="B1089" s="0" t="s">
        <v>2803</v>
      </c>
      <c r="C1089" s="0" t="s">
        <v>1803</v>
      </c>
      <c r="D1089" s="2" t="s">
        <v>19</v>
      </c>
      <c r="E1089" s="0" t="str">
        <f aca="false">VLOOKUP(D1089,Fornitori!$A$2:$C$6,2,FALSE())</f>
        <v>Elettrotecnica Ferri</v>
      </c>
      <c r="F1089" s="0" t="n">
        <v>48</v>
      </c>
      <c r="G1089" s="0" t="n">
        <v>24</v>
      </c>
      <c r="H1089" s="0" t="str">
        <f aca="false">IF(F1089&lt;G1089,"SI","NO")</f>
        <v>NO</v>
      </c>
    </row>
    <row r="1090" customFormat="false" ht="15" hidden="false" customHeight="false" outlineLevel="0" collapsed="false">
      <c r="A1090" s="0" t="s">
        <v>2804</v>
      </c>
      <c r="B1090" s="0" t="s">
        <v>2805</v>
      </c>
      <c r="C1090" s="0" t="s">
        <v>2806</v>
      </c>
      <c r="D1090" s="2" t="s">
        <v>23</v>
      </c>
      <c r="E1090" s="0" t="str">
        <f aca="false">VLOOKUP(D1090,Fornitori!$A$2:$C$6,2,FALSE())</f>
        <v>Pneumax Service</v>
      </c>
      <c r="F1090" s="0" t="n">
        <v>10</v>
      </c>
      <c r="G1090" s="0" t="n">
        <v>18</v>
      </c>
      <c r="H1090" s="0" t="str">
        <f aca="false">IF(F1090&lt;G1090,"SI","NO")</f>
        <v>SI</v>
      </c>
    </row>
    <row r="1091" customFormat="false" ht="15" hidden="false" customHeight="false" outlineLevel="0" collapsed="false">
      <c r="A1091" s="0" t="s">
        <v>2807</v>
      </c>
      <c r="B1091" s="0" t="s">
        <v>2808</v>
      </c>
      <c r="C1091" s="0" t="s">
        <v>2809</v>
      </c>
      <c r="D1091" s="2" t="s">
        <v>27</v>
      </c>
      <c r="E1091" s="0" t="str">
        <f aca="false">VLOOKUP(D1091,Fornitori!$A$2:$C$6,2,FALSE())</f>
        <v>Guarnizioni Alpi</v>
      </c>
      <c r="F1091" s="0" t="n">
        <v>1</v>
      </c>
      <c r="G1091" s="0" t="n">
        <v>18</v>
      </c>
      <c r="H1091" s="0" t="str">
        <f aca="false">IF(F1091&lt;G1091,"SI","NO")</f>
        <v>SI</v>
      </c>
    </row>
    <row r="1092" customFormat="false" ht="15" hidden="false" customHeight="false" outlineLevel="0" collapsed="false">
      <c r="A1092" s="0" t="s">
        <v>2810</v>
      </c>
      <c r="B1092" s="0" t="s">
        <v>2811</v>
      </c>
      <c r="C1092" s="0" t="s">
        <v>2590</v>
      </c>
      <c r="D1092" s="2" t="s">
        <v>11</v>
      </c>
      <c r="E1092" s="0" t="str">
        <f aca="false">VLOOKUP(D1092,Fornitori!$A$2:$C$6,2,FALSE())</f>
        <v>Meccanica Bassi S.r.l.</v>
      </c>
      <c r="F1092" s="0" t="n">
        <v>19</v>
      </c>
      <c r="G1092" s="0" t="n">
        <v>23</v>
      </c>
      <c r="H1092" s="0" t="str">
        <f aca="false">IF(F1092&lt;G1092,"SI","NO")</f>
        <v>SI</v>
      </c>
    </row>
    <row r="1093" customFormat="false" ht="15" hidden="false" customHeight="false" outlineLevel="0" collapsed="false">
      <c r="A1093" s="0" t="s">
        <v>2812</v>
      </c>
      <c r="B1093" s="0" t="s">
        <v>2813</v>
      </c>
      <c r="C1093" s="0" t="s">
        <v>1084</v>
      </c>
      <c r="D1093" s="2" t="s">
        <v>15</v>
      </c>
      <c r="E1093" s="0" t="str">
        <f aca="false">VLOOKUP(D1093,Fornitori!$A$2:$C$6,2,FALSE())</f>
        <v>Rulmeca Italia</v>
      </c>
      <c r="F1093" s="0" t="n">
        <v>19</v>
      </c>
      <c r="G1093" s="0" t="n">
        <v>21</v>
      </c>
      <c r="H1093" s="0" t="str">
        <f aca="false">IF(F1093&lt;G1093,"SI","NO")</f>
        <v>SI</v>
      </c>
    </row>
    <row r="1094" customFormat="false" ht="15" hidden="false" customHeight="false" outlineLevel="0" collapsed="false">
      <c r="A1094" s="0" t="s">
        <v>2814</v>
      </c>
      <c r="B1094" s="0" t="s">
        <v>2815</v>
      </c>
      <c r="C1094" s="0" t="s">
        <v>1472</v>
      </c>
      <c r="D1094" s="2" t="s">
        <v>19</v>
      </c>
      <c r="E1094" s="0" t="str">
        <f aca="false">VLOOKUP(D1094,Fornitori!$A$2:$C$6,2,FALSE())</f>
        <v>Elettrotecnica Ferri</v>
      </c>
      <c r="F1094" s="0" t="n">
        <v>30</v>
      </c>
      <c r="G1094" s="0" t="n">
        <v>7</v>
      </c>
      <c r="H1094" s="0" t="str">
        <f aca="false">IF(F1094&lt;G1094,"SI","NO")</f>
        <v>NO</v>
      </c>
    </row>
    <row r="1095" customFormat="false" ht="15" hidden="false" customHeight="false" outlineLevel="0" collapsed="false">
      <c r="A1095" s="0" t="s">
        <v>2816</v>
      </c>
      <c r="B1095" s="0" t="s">
        <v>2817</v>
      </c>
      <c r="C1095" s="0" t="s">
        <v>475</v>
      </c>
      <c r="D1095" s="2" t="s">
        <v>23</v>
      </c>
      <c r="E1095" s="0" t="str">
        <f aca="false">VLOOKUP(D1095,Fornitori!$A$2:$C$6,2,FALSE())</f>
        <v>Pneumax Service</v>
      </c>
      <c r="F1095" s="0" t="n">
        <v>40</v>
      </c>
      <c r="G1095" s="0" t="n">
        <v>7</v>
      </c>
      <c r="H1095" s="0" t="str">
        <f aca="false">IF(F1095&lt;G1095,"SI","NO")</f>
        <v>NO</v>
      </c>
    </row>
    <row r="1096" customFormat="false" ht="15" hidden="false" customHeight="false" outlineLevel="0" collapsed="false">
      <c r="A1096" s="0" t="s">
        <v>2818</v>
      </c>
      <c r="B1096" s="0" t="s">
        <v>2819</v>
      </c>
      <c r="C1096" s="0" t="s">
        <v>502</v>
      </c>
      <c r="D1096" s="2" t="s">
        <v>27</v>
      </c>
      <c r="E1096" s="0" t="str">
        <f aca="false">VLOOKUP(D1096,Fornitori!$A$2:$C$6,2,FALSE())</f>
        <v>Guarnizioni Alpi</v>
      </c>
      <c r="F1096" s="0" t="n">
        <v>4</v>
      </c>
      <c r="G1096" s="0" t="n">
        <v>9</v>
      </c>
      <c r="H1096" s="0" t="str">
        <f aca="false">IF(F1096&lt;G1096,"SI","NO")</f>
        <v>SI</v>
      </c>
    </row>
    <row r="1097" customFormat="false" ht="15" hidden="false" customHeight="false" outlineLevel="0" collapsed="false">
      <c r="A1097" s="0" t="s">
        <v>2820</v>
      </c>
      <c r="B1097" s="0" t="s">
        <v>2642</v>
      </c>
      <c r="C1097" s="0" t="s">
        <v>2821</v>
      </c>
      <c r="D1097" s="2" t="s">
        <v>11</v>
      </c>
      <c r="E1097" s="0" t="str">
        <f aca="false">VLOOKUP(D1097,Fornitori!$A$2:$C$6,2,FALSE())</f>
        <v>Meccanica Bassi S.r.l.</v>
      </c>
      <c r="F1097" s="0" t="n">
        <v>15</v>
      </c>
      <c r="G1097" s="0" t="n">
        <v>15</v>
      </c>
      <c r="H1097" s="0" t="str">
        <f aca="false">IF(F1097&lt;G1097,"SI","NO")</f>
        <v>NO</v>
      </c>
    </row>
    <row r="1098" customFormat="false" ht="15" hidden="false" customHeight="false" outlineLevel="0" collapsed="false">
      <c r="A1098" s="0" t="s">
        <v>2822</v>
      </c>
      <c r="B1098" s="0" t="s">
        <v>2823</v>
      </c>
      <c r="C1098" s="0" t="s">
        <v>1893</v>
      </c>
      <c r="D1098" s="2" t="s">
        <v>15</v>
      </c>
      <c r="E1098" s="0" t="str">
        <f aca="false">VLOOKUP(D1098,Fornitori!$A$2:$C$6,2,FALSE())</f>
        <v>Rulmeca Italia</v>
      </c>
      <c r="F1098" s="0" t="n">
        <v>26</v>
      </c>
      <c r="G1098" s="0" t="n">
        <v>14</v>
      </c>
      <c r="H1098" s="0" t="str">
        <f aca="false">IF(F1098&lt;G1098,"SI","NO")</f>
        <v>NO</v>
      </c>
    </row>
    <row r="1099" customFormat="false" ht="15" hidden="false" customHeight="false" outlineLevel="0" collapsed="false">
      <c r="A1099" s="0" t="s">
        <v>2824</v>
      </c>
      <c r="B1099" s="0" t="s">
        <v>2825</v>
      </c>
      <c r="C1099" s="0" t="s">
        <v>2585</v>
      </c>
      <c r="D1099" s="2" t="s">
        <v>19</v>
      </c>
      <c r="E1099" s="0" t="str">
        <f aca="false">VLOOKUP(D1099,Fornitori!$A$2:$C$6,2,FALSE())</f>
        <v>Elettrotecnica Ferri</v>
      </c>
      <c r="F1099" s="0" t="n">
        <v>36</v>
      </c>
      <c r="G1099" s="0" t="n">
        <v>11</v>
      </c>
      <c r="H1099" s="0" t="str">
        <f aca="false">IF(F1099&lt;G1099,"SI","NO")</f>
        <v>NO</v>
      </c>
    </row>
    <row r="1100" customFormat="false" ht="15" hidden="false" customHeight="false" outlineLevel="0" collapsed="false">
      <c r="A1100" s="0" t="s">
        <v>2826</v>
      </c>
      <c r="B1100" s="0" t="s">
        <v>2827</v>
      </c>
      <c r="C1100" s="0" t="s">
        <v>2773</v>
      </c>
      <c r="D1100" s="2" t="s">
        <v>23</v>
      </c>
      <c r="E1100" s="0" t="str">
        <f aca="false">VLOOKUP(D1100,Fornitori!$A$2:$C$6,2,FALSE())</f>
        <v>Pneumax Service</v>
      </c>
      <c r="F1100" s="0" t="n">
        <v>36</v>
      </c>
      <c r="G1100" s="0" t="n">
        <v>18</v>
      </c>
      <c r="H1100" s="0" t="str">
        <f aca="false">IF(F1100&lt;G1100,"SI","NO")</f>
        <v>NO</v>
      </c>
    </row>
    <row r="1101" customFormat="false" ht="15" hidden="false" customHeight="false" outlineLevel="0" collapsed="false">
      <c r="A1101" s="0" t="s">
        <v>2828</v>
      </c>
      <c r="B1101" s="0" t="s">
        <v>2829</v>
      </c>
      <c r="C1101" s="0" t="s">
        <v>2489</v>
      </c>
      <c r="D1101" s="2" t="s">
        <v>27</v>
      </c>
      <c r="E1101" s="0" t="str">
        <f aca="false">VLOOKUP(D1101,Fornitori!$A$2:$C$6,2,FALSE())</f>
        <v>Guarnizioni Alpi</v>
      </c>
      <c r="F1101" s="0" t="n">
        <v>19</v>
      </c>
      <c r="G1101" s="0" t="n">
        <v>22</v>
      </c>
      <c r="H1101" s="0" t="str">
        <f aca="false">IF(F1101&lt;G1101,"SI","NO")</f>
        <v>SI</v>
      </c>
    </row>
    <row r="1102" customFormat="false" ht="15" hidden="false" customHeight="false" outlineLevel="0" collapsed="false">
      <c r="A1102" s="0" t="s">
        <v>2830</v>
      </c>
      <c r="B1102" s="0" t="s">
        <v>2831</v>
      </c>
      <c r="C1102" s="0" t="s">
        <v>1291</v>
      </c>
      <c r="D1102" s="2" t="s">
        <v>11</v>
      </c>
      <c r="E1102" s="0" t="str">
        <f aca="false">VLOOKUP(D1102,Fornitori!$A$2:$C$6,2,FALSE())</f>
        <v>Meccanica Bassi S.r.l.</v>
      </c>
      <c r="F1102" s="0" t="n">
        <v>33</v>
      </c>
      <c r="G1102" s="0" t="n">
        <v>20</v>
      </c>
      <c r="H1102" s="0" t="str">
        <f aca="false">IF(F1102&lt;G1102,"SI","NO")</f>
        <v>NO</v>
      </c>
    </row>
    <row r="1103" customFormat="false" ht="15" hidden="false" customHeight="false" outlineLevel="0" collapsed="false">
      <c r="A1103" s="0" t="s">
        <v>2832</v>
      </c>
      <c r="B1103" s="0" t="s">
        <v>2033</v>
      </c>
      <c r="C1103" s="0" t="s">
        <v>2833</v>
      </c>
      <c r="D1103" s="2" t="s">
        <v>15</v>
      </c>
      <c r="E1103" s="0" t="str">
        <f aca="false">VLOOKUP(D1103,Fornitori!$A$2:$C$6,2,FALSE())</f>
        <v>Rulmeca Italia</v>
      </c>
      <c r="F1103" s="0" t="n">
        <v>32</v>
      </c>
      <c r="G1103" s="0" t="n">
        <v>21</v>
      </c>
      <c r="H1103" s="0" t="str">
        <f aca="false">IF(F1103&lt;G1103,"SI","NO")</f>
        <v>NO</v>
      </c>
    </row>
    <row r="1104" customFormat="false" ht="15" hidden="false" customHeight="false" outlineLevel="0" collapsed="false">
      <c r="A1104" s="0" t="s">
        <v>2834</v>
      </c>
      <c r="B1104" s="0" t="s">
        <v>2835</v>
      </c>
      <c r="C1104" s="0" t="s">
        <v>1235</v>
      </c>
      <c r="D1104" s="2" t="s">
        <v>19</v>
      </c>
      <c r="E1104" s="0" t="str">
        <f aca="false">VLOOKUP(D1104,Fornitori!$A$2:$C$6,2,FALSE())</f>
        <v>Elettrotecnica Ferri</v>
      </c>
      <c r="F1104" s="0" t="n">
        <v>58</v>
      </c>
      <c r="G1104" s="0" t="n">
        <v>21</v>
      </c>
      <c r="H1104" s="0" t="str">
        <f aca="false">IF(F1104&lt;G1104,"SI","NO")</f>
        <v>NO</v>
      </c>
    </row>
    <row r="1105" customFormat="false" ht="15" hidden="false" customHeight="false" outlineLevel="0" collapsed="false">
      <c r="A1105" s="0" t="s">
        <v>2836</v>
      </c>
      <c r="B1105" s="0" t="s">
        <v>2837</v>
      </c>
      <c r="C1105" s="0" t="s">
        <v>2092</v>
      </c>
      <c r="D1105" s="2" t="s">
        <v>23</v>
      </c>
      <c r="E1105" s="0" t="str">
        <f aca="false">VLOOKUP(D1105,Fornitori!$A$2:$C$6,2,FALSE())</f>
        <v>Pneumax Service</v>
      </c>
      <c r="F1105" s="0" t="n">
        <v>16</v>
      </c>
      <c r="G1105" s="0" t="n">
        <v>24</v>
      </c>
      <c r="H1105" s="0" t="str">
        <f aca="false">IF(F1105&lt;G1105,"SI","NO")</f>
        <v>SI</v>
      </c>
    </row>
    <row r="1106" customFormat="false" ht="15" hidden="false" customHeight="false" outlineLevel="0" collapsed="false">
      <c r="A1106" s="0" t="s">
        <v>2838</v>
      </c>
      <c r="B1106" s="0" t="s">
        <v>637</v>
      </c>
      <c r="C1106" s="0" t="s">
        <v>164</v>
      </c>
      <c r="D1106" s="2" t="s">
        <v>27</v>
      </c>
      <c r="E1106" s="0" t="str">
        <f aca="false">VLOOKUP(D1106,Fornitori!$A$2:$C$6,2,FALSE())</f>
        <v>Guarnizioni Alpi</v>
      </c>
      <c r="F1106" s="0" t="n">
        <v>5</v>
      </c>
      <c r="G1106" s="0" t="n">
        <v>13</v>
      </c>
      <c r="H1106" s="0" t="str">
        <f aca="false">IF(F1106&lt;G1106,"SI","NO")</f>
        <v>SI</v>
      </c>
    </row>
    <row r="1107" customFormat="false" ht="15" hidden="false" customHeight="false" outlineLevel="0" collapsed="false">
      <c r="A1107" s="0" t="s">
        <v>2839</v>
      </c>
      <c r="B1107" s="0" t="s">
        <v>2840</v>
      </c>
      <c r="C1107" s="0" t="s">
        <v>1349</v>
      </c>
      <c r="D1107" s="2" t="s">
        <v>11</v>
      </c>
      <c r="E1107" s="0" t="str">
        <f aca="false">VLOOKUP(D1107,Fornitori!$A$2:$C$6,2,FALSE())</f>
        <v>Meccanica Bassi S.r.l.</v>
      </c>
      <c r="F1107" s="0" t="n">
        <v>59</v>
      </c>
      <c r="G1107" s="0" t="n">
        <v>11</v>
      </c>
      <c r="H1107" s="0" t="str">
        <f aca="false">IF(F1107&lt;G1107,"SI","NO")</f>
        <v>NO</v>
      </c>
    </row>
    <row r="1108" customFormat="false" ht="15" hidden="false" customHeight="false" outlineLevel="0" collapsed="false">
      <c r="A1108" s="0" t="s">
        <v>2841</v>
      </c>
      <c r="B1108" s="0" t="s">
        <v>2842</v>
      </c>
      <c r="C1108" s="0" t="s">
        <v>2843</v>
      </c>
      <c r="D1108" s="2" t="s">
        <v>15</v>
      </c>
      <c r="E1108" s="0" t="str">
        <f aca="false">VLOOKUP(D1108,Fornitori!$A$2:$C$6,2,FALSE())</f>
        <v>Rulmeca Italia</v>
      </c>
      <c r="F1108" s="0" t="n">
        <v>6</v>
      </c>
      <c r="G1108" s="0" t="n">
        <v>14</v>
      </c>
      <c r="H1108" s="0" t="str">
        <f aca="false">IF(F1108&lt;G1108,"SI","NO")</f>
        <v>SI</v>
      </c>
    </row>
    <row r="1109" customFormat="false" ht="15" hidden="false" customHeight="false" outlineLevel="0" collapsed="false">
      <c r="A1109" s="0" t="s">
        <v>2844</v>
      </c>
      <c r="B1109" s="0" t="s">
        <v>2845</v>
      </c>
      <c r="C1109" s="0" t="s">
        <v>412</v>
      </c>
      <c r="D1109" s="2" t="s">
        <v>19</v>
      </c>
      <c r="E1109" s="0" t="str">
        <f aca="false">VLOOKUP(D1109,Fornitori!$A$2:$C$6,2,FALSE())</f>
        <v>Elettrotecnica Ferri</v>
      </c>
      <c r="F1109" s="0" t="n">
        <v>33</v>
      </c>
      <c r="G1109" s="0" t="n">
        <v>18</v>
      </c>
      <c r="H1109" s="0" t="str">
        <f aca="false">IF(F1109&lt;G1109,"SI","NO")</f>
        <v>NO</v>
      </c>
    </row>
    <row r="1110" customFormat="false" ht="15" hidden="false" customHeight="false" outlineLevel="0" collapsed="false">
      <c r="A1110" s="0" t="s">
        <v>2846</v>
      </c>
      <c r="B1110" s="0" t="s">
        <v>2847</v>
      </c>
      <c r="C1110" s="0" t="s">
        <v>930</v>
      </c>
      <c r="D1110" s="2" t="s">
        <v>23</v>
      </c>
      <c r="E1110" s="0" t="str">
        <f aca="false">VLOOKUP(D1110,Fornitori!$A$2:$C$6,2,FALSE())</f>
        <v>Pneumax Service</v>
      </c>
      <c r="F1110" s="0" t="n">
        <v>27</v>
      </c>
      <c r="G1110" s="0" t="n">
        <v>11</v>
      </c>
      <c r="H1110" s="0" t="str">
        <f aca="false">IF(F1110&lt;G1110,"SI","NO")</f>
        <v>NO</v>
      </c>
    </row>
    <row r="1111" customFormat="false" ht="15" hidden="false" customHeight="false" outlineLevel="0" collapsed="false">
      <c r="A1111" s="0" t="s">
        <v>2848</v>
      </c>
      <c r="B1111" s="0" t="s">
        <v>2849</v>
      </c>
      <c r="C1111" s="0" t="s">
        <v>810</v>
      </c>
      <c r="D1111" s="2" t="s">
        <v>27</v>
      </c>
      <c r="E1111" s="0" t="str">
        <f aca="false">VLOOKUP(D1111,Fornitori!$A$2:$C$6,2,FALSE())</f>
        <v>Guarnizioni Alpi</v>
      </c>
      <c r="F1111" s="0" t="n">
        <v>36</v>
      </c>
      <c r="G1111" s="0" t="n">
        <v>17</v>
      </c>
      <c r="H1111" s="0" t="str">
        <f aca="false">IF(F1111&lt;G1111,"SI","NO")</f>
        <v>NO</v>
      </c>
    </row>
    <row r="1112" customFormat="false" ht="15" hidden="false" customHeight="false" outlineLevel="0" collapsed="false">
      <c r="A1112" s="0" t="s">
        <v>2850</v>
      </c>
      <c r="B1112" s="0" t="s">
        <v>2851</v>
      </c>
      <c r="C1112" s="0" t="s">
        <v>2730</v>
      </c>
      <c r="D1112" s="2" t="s">
        <v>11</v>
      </c>
      <c r="E1112" s="0" t="str">
        <f aca="false">VLOOKUP(D1112,Fornitori!$A$2:$C$6,2,FALSE())</f>
        <v>Meccanica Bassi S.r.l.</v>
      </c>
      <c r="F1112" s="0" t="n">
        <v>49</v>
      </c>
      <c r="G1112" s="0" t="n">
        <v>15</v>
      </c>
      <c r="H1112" s="0" t="str">
        <f aca="false">IF(F1112&lt;G1112,"SI","NO")</f>
        <v>NO</v>
      </c>
    </row>
    <row r="1113" customFormat="false" ht="15" hidden="false" customHeight="false" outlineLevel="0" collapsed="false">
      <c r="A1113" s="0" t="s">
        <v>2852</v>
      </c>
      <c r="B1113" s="0" t="s">
        <v>2853</v>
      </c>
      <c r="C1113" s="0" t="s">
        <v>188</v>
      </c>
      <c r="D1113" s="2" t="s">
        <v>15</v>
      </c>
      <c r="E1113" s="0" t="str">
        <f aca="false">VLOOKUP(D1113,Fornitori!$A$2:$C$6,2,FALSE())</f>
        <v>Rulmeca Italia</v>
      </c>
      <c r="F1113" s="0" t="n">
        <v>47</v>
      </c>
      <c r="G1113" s="0" t="n">
        <v>7</v>
      </c>
      <c r="H1113" s="0" t="str">
        <f aca="false">IF(F1113&lt;G1113,"SI","NO")</f>
        <v>NO</v>
      </c>
    </row>
    <row r="1114" customFormat="false" ht="15" hidden="false" customHeight="false" outlineLevel="0" collapsed="false">
      <c r="A1114" s="0" t="s">
        <v>2854</v>
      </c>
      <c r="B1114" s="0" t="s">
        <v>2855</v>
      </c>
      <c r="C1114" s="0" t="s">
        <v>2856</v>
      </c>
      <c r="D1114" s="2" t="s">
        <v>19</v>
      </c>
      <c r="E1114" s="0" t="str">
        <f aca="false">VLOOKUP(D1114,Fornitori!$A$2:$C$6,2,FALSE())</f>
        <v>Elettrotecnica Ferri</v>
      </c>
      <c r="F1114" s="0" t="n">
        <v>21</v>
      </c>
      <c r="G1114" s="0" t="n">
        <v>14</v>
      </c>
      <c r="H1114" s="0" t="str">
        <f aca="false">IF(F1114&lt;G1114,"SI","NO")</f>
        <v>NO</v>
      </c>
    </row>
    <row r="1115" customFormat="false" ht="15" hidden="false" customHeight="false" outlineLevel="0" collapsed="false">
      <c r="A1115" s="0" t="s">
        <v>2857</v>
      </c>
      <c r="B1115" s="0" t="s">
        <v>2858</v>
      </c>
      <c r="C1115" s="0" t="s">
        <v>2366</v>
      </c>
      <c r="D1115" s="2" t="s">
        <v>23</v>
      </c>
      <c r="E1115" s="0" t="str">
        <f aca="false">VLOOKUP(D1115,Fornitori!$A$2:$C$6,2,FALSE())</f>
        <v>Pneumax Service</v>
      </c>
      <c r="F1115" s="0" t="n">
        <v>9</v>
      </c>
      <c r="G1115" s="0" t="n">
        <v>23</v>
      </c>
      <c r="H1115" s="0" t="str">
        <f aca="false">IF(F1115&lt;G1115,"SI","NO")</f>
        <v>SI</v>
      </c>
    </row>
    <row r="1116" customFormat="false" ht="15" hidden="false" customHeight="false" outlineLevel="0" collapsed="false">
      <c r="A1116" s="0" t="s">
        <v>2859</v>
      </c>
      <c r="B1116" s="0" t="s">
        <v>2860</v>
      </c>
      <c r="C1116" s="0" t="s">
        <v>850</v>
      </c>
      <c r="D1116" s="2" t="s">
        <v>27</v>
      </c>
      <c r="E1116" s="0" t="str">
        <f aca="false">VLOOKUP(D1116,Fornitori!$A$2:$C$6,2,FALSE())</f>
        <v>Guarnizioni Alpi</v>
      </c>
      <c r="F1116" s="0" t="n">
        <v>9</v>
      </c>
      <c r="G1116" s="0" t="n">
        <v>9</v>
      </c>
      <c r="H1116" s="0" t="str">
        <f aca="false">IF(F1116&lt;G1116,"SI","NO")</f>
        <v>NO</v>
      </c>
    </row>
    <row r="1117" customFormat="false" ht="15" hidden="false" customHeight="false" outlineLevel="0" collapsed="false">
      <c r="A1117" s="0" t="s">
        <v>2861</v>
      </c>
      <c r="B1117" s="0" t="s">
        <v>1319</v>
      </c>
      <c r="C1117" s="0" t="s">
        <v>1554</v>
      </c>
      <c r="D1117" s="2" t="s">
        <v>11</v>
      </c>
      <c r="E1117" s="0" t="str">
        <f aca="false">VLOOKUP(D1117,Fornitori!$A$2:$C$6,2,FALSE())</f>
        <v>Meccanica Bassi S.r.l.</v>
      </c>
      <c r="F1117" s="0" t="n">
        <v>17</v>
      </c>
      <c r="G1117" s="0" t="n">
        <v>11</v>
      </c>
      <c r="H1117" s="0" t="str">
        <f aca="false">IF(F1117&lt;G1117,"SI","NO")</f>
        <v>NO</v>
      </c>
    </row>
    <row r="1118" customFormat="false" ht="15" hidden="false" customHeight="false" outlineLevel="0" collapsed="false">
      <c r="A1118" s="0" t="s">
        <v>2862</v>
      </c>
      <c r="B1118" s="0" t="s">
        <v>1507</v>
      </c>
      <c r="C1118" s="0" t="s">
        <v>2863</v>
      </c>
      <c r="D1118" s="2" t="s">
        <v>15</v>
      </c>
      <c r="E1118" s="0" t="str">
        <f aca="false">VLOOKUP(D1118,Fornitori!$A$2:$C$6,2,FALSE())</f>
        <v>Rulmeca Italia</v>
      </c>
      <c r="F1118" s="0" t="n">
        <v>29</v>
      </c>
      <c r="G1118" s="0" t="n">
        <v>5</v>
      </c>
      <c r="H1118" s="0" t="str">
        <f aca="false">IF(F1118&lt;G1118,"SI","NO")</f>
        <v>NO</v>
      </c>
    </row>
    <row r="1119" customFormat="false" ht="15" hidden="false" customHeight="false" outlineLevel="0" collapsed="false">
      <c r="A1119" s="0" t="s">
        <v>2864</v>
      </c>
      <c r="B1119" s="0" t="s">
        <v>2865</v>
      </c>
      <c r="C1119" s="0" t="s">
        <v>2866</v>
      </c>
      <c r="D1119" s="2" t="s">
        <v>19</v>
      </c>
      <c r="E1119" s="0" t="str">
        <f aca="false">VLOOKUP(D1119,Fornitori!$A$2:$C$6,2,FALSE())</f>
        <v>Elettrotecnica Ferri</v>
      </c>
      <c r="F1119" s="0" t="n">
        <v>14</v>
      </c>
      <c r="G1119" s="0" t="n">
        <v>17</v>
      </c>
      <c r="H1119" s="0" t="str">
        <f aca="false">IF(F1119&lt;G1119,"SI","NO")</f>
        <v>SI</v>
      </c>
    </row>
    <row r="1120" customFormat="false" ht="15" hidden="false" customHeight="false" outlineLevel="0" collapsed="false">
      <c r="A1120" s="0" t="s">
        <v>2867</v>
      </c>
      <c r="B1120" s="0" t="s">
        <v>2868</v>
      </c>
      <c r="C1120" s="0" t="s">
        <v>2869</v>
      </c>
      <c r="D1120" s="2" t="s">
        <v>23</v>
      </c>
      <c r="E1120" s="0" t="str">
        <f aca="false">VLOOKUP(D1120,Fornitori!$A$2:$C$6,2,FALSE())</f>
        <v>Pneumax Service</v>
      </c>
      <c r="F1120" s="0" t="n">
        <v>29</v>
      </c>
      <c r="G1120" s="0" t="n">
        <v>18</v>
      </c>
      <c r="H1120" s="0" t="str">
        <f aca="false">IF(F1120&lt;G1120,"SI","NO")</f>
        <v>NO</v>
      </c>
    </row>
    <row r="1121" customFormat="false" ht="15" hidden="false" customHeight="false" outlineLevel="0" collapsed="false">
      <c r="A1121" s="0" t="s">
        <v>2870</v>
      </c>
      <c r="B1121" s="0" t="s">
        <v>2871</v>
      </c>
      <c r="C1121" s="0" t="s">
        <v>2872</v>
      </c>
      <c r="D1121" s="2" t="s">
        <v>27</v>
      </c>
      <c r="E1121" s="0" t="str">
        <f aca="false">VLOOKUP(D1121,Fornitori!$A$2:$C$6,2,FALSE())</f>
        <v>Guarnizioni Alpi</v>
      </c>
      <c r="F1121" s="0" t="n">
        <v>3</v>
      </c>
      <c r="G1121" s="0" t="n">
        <v>16</v>
      </c>
      <c r="H1121" s="0" t="str">
        <f aca="false">IF(F1121&lt;G1121,"SI","NO")</f>
        <v>SI</v>
      </c>
    </row>
    <row r="1122" customFormat="false" ht="15" hidden="false" customHeight="false" outlineLevel="0" collapsed="false">
      <c r="A1122" s="0" t="s">
        <v>2873</v>
      </c>
      <c r="B1122" s="0" t="s">
        <v>2874</v>
      </c>
      <c r="C1122" s="0" t="s">
        <v>1300</v>
      </c>
      <c r="D1122" s="2" t="s">
        <v>11</v>
      </c>
      <c r="E1122" s="0" t="str">
        <f aca="false">VLOOKUP(D1122,Fornitori!$A$2:$C$6,2,FALSE())</f>
        <v>Meccanica Bassi S.r.l.</v>
      </c>
      <c r="F1122" s="0" t="n">
        <v>37</v>
      </c>
      <c r="G1122" s="0" t="n">
        <v>20</v>
      </c>
      <c r="H1122" s="0" t="str">
        <f aca="false">IF(F1122&lt;G1122,"SI","NO")</f>
        <v>NO</v>
      </c>
    </row>
    <row r="1123" customFormat="false" ht="15" hidden="false" customHeight="false" outlineLevel="0" collapsed="false">
      <c r="A1123" s="0" t="s">
        <v>2875</v>
      </c>
      <c r="B1123" s="0" t="s">
        <v>2876</v>
      </c>
      <c r="C1123" s="0" t="s">
        <v>1241</v>
      </c>
      <c r="D1123" s="2" t="s">
        <v>15</v>
      </c>
      <c r="E1123" s="0" t="str">
        <f aca="false">VLOOKUP(D1123,Fornitori!$A$2:$C$6,2,FALSE())</f>
        <v>Rulmeca Italia</v>
      </c>
      <c r="F1123" s="0" t="n">
        <v>17</v>
      </c>
      <c r="G1123" s="0" t="n">
        <v>16</v>
      </c>
      <c r="H1123" s="0" t="str">
        <f aca="false">IF(F1123&lt;G1123,"SI","NO")</f>
        <v>NO</v>
      </c>
    </row>
    <row r="1124" customFormat="false" ht="15" hidden="false" customHeight="false" outlineLevel="0" collapsed="false">
      <c r="A1124" s="0" t="s">
        <v>2877</v>
      </c>
      <c r="B1124" s="0" t="s">
        <v>2878</v>
      </c>
      <c r="C1124" s="0" t="s">
        <v>1303</v>
      </c>
      <c r="D1124" s="2" t="s">
        <v>19</v>
      </c>
      <c r="E1124" s="0" t="str">
        <f aca="false">VLOOKUP(D1124,Fornitori!$A$2:$C$6,2,FALSE())</f>
        <v>Elettrotecnica Ferri</v>
      </c>
      <c r="F1124" s="0" t="n">
        <v>36</v>
      </c>
      <c r="G1124" s="0" t="n">
        <v>15</v>
      </c>
      <c r="H1124" s="0" t="str">
        <f aca="false">IF(F1124&lt;G1124,"SI","NO")</f>
        <v>NO</v>
      </c>
    </row>
    <row r="1125" customFormat="false" ht="15" hidden="false" customHeight="false" outlineLevel="0" collapsed="false">
      <c r="A1125" s="0" t="s">
        <v>2879</v>
      </c>
      <c r="B1125" s="0" t="s">
        <v>2880</v>
      </c>
      <c r="C1125" s="0" t="s">
        <v>2148</v>
      </c>
      <c r="D1125" s="2" t="s">
        <v>23</v>
      </c>
      <c r="E1125" s="0" t="str">
        <f aca="false">VLOOKUP(D1125,Fornitori!$A$2:$C$6,2,FALSE())</f>
        <v>Pneumax Service</v>
      </c>
      <c r="F1125" s="0" t="n">
        <v>20</v>
      </c>
      <c r="G1125" s="0" t="n">
        <v>6</v>
      </c>
      <c r="H1125" s="0" t="str">
        <f aca="false">IF(F1125&lt;G1125,"SI","NO")</f>
        <v>NO</v>
      </c>
    </row>
    <row r="1126" customFormat="false" ht="15" hidden="false" customHeight="false" outlineLevel="0" collapsed="false">
      <c r="A1126" s="0" t="s">
        <v>2881</v>
      </c>
      <c r="B1126" s="0" t="s">
        <v>2882</v>
      </c>
      <c r="C1126" s="0" t="s">
        <v>2883</v>
      </c>
      <c r="D1126" s="2" t="s">
        <v>27</v>
      </c>
      <c r="E1126" s="0" t="str">
        <f aca="false">VLOOKUP(D1126,Fornitori!$A$2:$C$6,2,FALSE())</f>
        <v>Guarnizioni Alpi</v>
      </c>
      <c r="F1126" s="0" t="n">
        <v>16</v>
      </c>
      <c r="G1126" s="0" t="n">
        <v>13</v>
      </c>
      <c r="H1126" s="0" t="str">
        <f aca="false">IF(F1126&lt;G1126,"SI","NO")</f>
        <v>NO</v>
      </c>
    </row>
    <row r="1127" customFormat="false" ht="15" hidden="false" customHeight="false" outlineLevel="0" collapsed="false">
      <c r="A1127" s="0" t="s">
        <v>2884</v>
      </c>
      <c r="B1127" s="0" t="s">
        <v>2885</v>
      </c>
      <c r="C1127" s="0" t="s">
        <v>2529</v>
      </c>
      <c r="D1127" s="2" t="s">
        <v>11</v>
      </c>
      <c r="E1127" s="0" t="str">
        <f aca="false">VLOOKUP(D1127,Fornitori!$A$2:$C$6,2,FALSE())</f>
        <v>Meccanica Bassi S.r.l.</v>
      </c>
      <c r="F1127" s="0" t="n">
        <v>29</v>
      </c>
      <c r="G1127" s="0" t="n">
        <v>23</v>
      </c>
      <c r="H1127" s="0" t="str">
        <f aca="false">IF(F1127&lt;G1127,"SI","NO")</f>
        <v>NO</v>
      </c>
    </row>
    <row r="1128" customFormat="false" ht="15" hidden="false" customHeight="false" outlineLevel="0" collapsed="false">
      <c r="A1128" s="0" t="s">
        <v>2886</v>
      </c>
      <c r="B1128" s="0" t="s">
        <v>2887</v>
      </c>
      <c r="C1128" s="0" t="s">
        <v>2888</v>
      </c>
      <c r="D1128" s="2" t="s">
        <v>15</v>
      </c>
      <c r="E1128" s="0" t="str">
        <f aca="false">VLOOKUP(D1128,Fornitori!$A$2:$C$6,2,FALSE())</f>
        <v>Rulmeca Italia</v>
      </c>
      <c r="F1128" s="0" t="n">
        <v>47</v>
      </c>
      <c r="G1128" s="0" t="n">
        <v>9</v>
      </c>
      <c r="H1128" s="0" t="str">
        <f aca="false">IF(F1128&lt;G1128,"SI","NO")</f>
        <v>NO</v>
      </c>
    </row>
    <row r="1129" customFormat="false" ht="15" hidden="false" customHeight="false" outlineLevel="0" collapsed="false">
      <c r="A1129" s="0" t="s">
        <v>2889</v>
      </c>
      <c r="B1129" s="0" t="s">
        <v>2890</v>
      </c>
      <c r="C1129" s="0" t="s">
        <v>2158</v>
      </c>
      <c r="D1129" s="2" t="s">
        <v>19</v>
      </c>
      <c r="E1129" s="0" t="str">
        <f aca="false">VLOOKUP(D1129,Fornitori!$A$2:$C$6,2,FALSE())</f>
        <v>Elettrotecnica Ferri</v>
      </c>
      <c r="F1129" s="0" t="n">
        <v>21</v>
      </c>
      <c r="G1129" s="0" t="n">
        <v>11</v>
      </c>
      <c r="H1129" s="0" t="str">
        <f aca="false">IF(F1129&lt;G1129,"SI","NO")</f>
        <v>NO</v>
      </c>
    </row>
    <row r="1130" customFormat="false" ht="15" hidden="false" customHeight="false" outlineLevel="0" collapsed="false">
      <c r="A1130" s="0" t="s">
        <v>2891</v>
      </c>
      <c r="B1130" s="0" t="s">
        <v>127</v>
      </c>
      <c r="C1130" s="0" t="s">
        <v>2892</v>
      </c>
      <c r="D1130" s="2" t="s">
        <v>23</v>
      </c>
      <c r="E1130" s="0" t="str">
        <f aca="false">VLOOKUP(D1130,Fornitori!$A$2:$C$6,2,FALSE())</f>
        <v>Pneumax Service</v>
      </c>
      <c r="F1130" s="0" t="n">
        <v>53</v>
      </c>
      <c r="G1130" s="0" t="n">
        <v>10</v>
      </c>
      <c r="H1130" s="0" t="str">
        <f aca="false">IF(F1130&lt;G1130,"SI","NO")</f>
        <v>NO</v>
      </c>
    </row>
    <row r="1131" customFormat="false" ht="15" hidden="false" customHeight="false" outlineLevel="0" collapsed="false">
      <c r="A1131" s="0" t="s">
        <v>2893</v>
      </c>
      <c r="B1131" s="0" t="s">
        <v>2894</v>
      </c>
      <c r="C1131" s="0" t="s">
        <v>2467</v>
      </c>
      <c r="D1131" s="2" t="s">
        <v>27</v>
      </c>
      <c r="E1131" s="0" t="str">
        <f aca="false">VLOOKUP(D1131,Fornitori!$A$2:$C$6,2,FALSE())</f>
        <v>Guarnizioni Alpi</v>
      </c>
      <c r="F1131" s="0" t="n">
        <v>28</v>
      </c>
      <c r="G1131" s="0" t="n">
        <v>5</v>
      </c>
      <c r="H1131" s="0" t="str">
        <f aca="false">IF(F1131&lt;G1131,"SI","NO")</f>
        <v>NO</v>
      </c>
    </row>
    <row r="1132" customFormat="false" ht="15" hidden="false" customHeight="false" outlineLevel="0" collapsed="false">
      <c r="A1132" s="0" t="s">
        <v>2895</v>
      </c>
      <c r="B1132" s="0" t="s">
        <v>133</v>
      </c>
      <c r="C1132" s="0" t="s">
        <v>2896</v>
      </c>
      <c r="D1132" s="2" t="s">
        <v>11</v>
      </c>
      <c r="E1132" s="0" t="str">
        <f aca="false">VLOOKUP(D1132,Fornitori!$A$2:$C$6,2,FALSE())</f>
        <v>Meccanica Bassi S.r.l.</v>
      </c>
      <c r="F1132" s="0" t="n">
        <v>26</v>
      </c>
      <c r="G1132" s="0" t="n">
        <v>12</v>
      </c>
      <c r="H1132" s="0" t="str">
        <f aca="false">IF(F1132&lt;G1132,"SI","NO")</f>
        <v>NO</v>
      </c>
    </row>
    <row r="1133" customFormat="false" ht="15" hidden="false" customHeight="false" outlineLevel="0" collapsed="false">
      <c r="A1133" s="0" t="s">
        <v>2897</v>
      </c>
      <c r="B1133" s="0" t="s">
        <v>2898</v>
      </c>
      <c r="C1133" s="0" t="s">
        <v>2899</v>
      </c>
      <c r="D1133" s="2" t="s">
        <v>15</v>
      </c>
      <c r="E1133" s="0" t="str">
        <f aca="false">VLOOKUP(D1133,Fornitori!$A$2:$C$6,2,FALSE())</f>
        <v>Rulmeca Italia</v>
      </c>
      <c r="F1133" s="0" t="n">
        <v>19</v>
      </c>
      <c r="G1133" s="0" t="n">
        <v>20</v>
      </c>
      <c r="H1133" s="0" t="str">
        <f aca="false">IF(F1133&lt;G1133,"SI","NO")</f>
        <v>SI</v>
      </c>
    </row>
    <row r="1134" customFormat="false" ht="15" hidden="false" customHeight="false" outlineLevel="0" collapsed="false">
      <c r="A1134" s="0" t="s">
        <v>2900</v>
      </c>
      <c r="B1134" s="0" t="s">
        <v>2901</v>
      </c>
      <c r="C1134" s="0" t="s">
        <v>2902</v>
      </c>
      <c r="D1134" s="2" t="s">
        <v>19</v>
      </c>
      <c r="E1134" s="0" t="str">
        <f aca="false">VLOOKUP(D1134,Fornitori!$A$2:$C$6,2,FALSE())</f>
        <v>Elettrotecnica Ferri</v>
      </c>
      <c r="F1134" s="0" t="n">
        <v>32</v>
      </c>
      <c r="G1134" s="0" t="n">
        <v>5</v>
      </c>
      <c r="H1134" s="0" t="str">
        <f aca="false">IF(F1134&lt;G1134,"SI","NO")</f>
        <v>NO</v>
      </c>
    </row>
    <row r="1135" customFormat="false" ht="15" hidden="false" customHeight="false" outlineLevel="0" collapsed="false">
      <c r="A1135" s="0" t="s">
        <v>2903</v>
      </c>
      <c r="B1135" s="0" t="s">
        <v>2904</v>
      </c>
      <c r="C1135" s="0" t="s">
        <v>2258</v>
      </c>
      <c r="D1135" s="2" t="s">
        <v>23</v>
      </c>
      <c r="E1135" s="0" t="str">
        <f aca="false">VLOOKUP(D1135,Fornitori!$A$2:$C$6,2,FALSE())</f>
        <v>Pneumax Service</v>
      </c>
      <c r="F1135" s="0" t="n">
        <v>21</v>
      </c>
      <c r="G1135" s="0" t="n">
        <v>5</v>
      </c>
      <c r="H1135" s="0" t="str">
        <f aca="false">IF(F1135&lt;G1135,"SI","NO")</f>
        <v>NO</v>
      </c>
    </row>
    <row r="1136" customFormat="false" ht="15" hidden="false" customHeight="false" outlineLevel="0" collapsed="false">
      <c r="A1136" s="0" t="s">
        <v>2905</v>
      </c>
      <c r="B1136" s="0" t="s">
        <v>2906</v>
      </c>
      <c r="C1136" s="0" t="s">
        <v>660</v>
      </c>
      <c r="D1136" s="2" t="s">
        <v>27</v>
      </c>
      <c r="E1136" s="0" t="str">
        <f aca="false">VLOOKUP(D1136,Fornitori!$A$2:$C$6,2,FALSE())</f>
        <v>Guarnizioni Alpi</v>
      </c>
      <c r="F1136" s="0" t="n">
        <v>53</v>
      </c>
      <c r="G1136" s="0" t="n">
        <v>20</v>
      </c>
      <c r="H1136" s="0" t="str">
        <f aca="false">IF(F1136&lt;G1136,"SI","NO")</f>
        <v>NO</v>
      </c>
    </row>
    <row r="1137" customFormat="false" ht="15" hidden="false" customHeight="false" outlineLevel="0" collapsed="false">
      <c r="A1137" s="0" t="s">
        <v>2907</v>
      </c>
      <c r="B1137" s="0" t="s">
        <v>2908</v>
      </c>
      <c r="C1137" s="0" t="s">
        <v>1848</v>
      </c>
      <c r="D1137" s="2" t="s">
        <v>11</v>
      </c>
      <c r="E1137" s="0" t="str">
        <f aca="false">VLOOKUP(D1137,Fornitori!$A$2:$C$6,2,FALSE())</f>
        <v>Meccanica Bassi S.r.l.</v>
      </c>
      <c r="F1137" s="0" t="n">
        <v>37</v>
      </c>
      <c r="G1137" s="0" t="n">
        <v>15</v>
      </c>
      <c r="H1137" s="0" t="str">
        <f aca="false">IF(F1137&lt;G1137,"SI","NO")</f>
        <v>NO</v>
      </c>
    </row>
    <row r="1138" customFormat="false" ht="15" hidden="false" customHeight="false" outlineLevel="0" collapsed="false">
      <c r="A1138" s="0" t="s">
        <v>2909</v>
      </c>
      <c r="B1138" s="0" t="s">
        <v>2910</v>
      </c>
      <c r="C1138" s="0" t="s">
        <v>2911</v>
      </c>
      <c r="D1138" s="2" t="s">
        <v>15</v>
      </c>
      <c r="E1138" s="0" t="str">
        <f aca="false">VLOOKUP(D1138,Fornitori!$A$2:$C$6,2,FALSE())</f>
        <v>Rulmeca Italia</v>
      </c>
      <c r="F1138" s="0" t="n">
        <v>4</v>
      </c>
      <c r="G1138" s="0" t="n">
        <v>20</v>
      </c>
      <c r="H1138" s="0" t="str">
        <f aca="false">IF(F1138&lt;G1138,"SI","NO")</f>
        <v>SI</v>
      </c>
    </row>
    <row r="1139" customFormat="false" ht="15" hidden="false" customHeight="false" outlineLevel="0" collapsed="false">
      <c r="A1139" s="0" t="s">
        <v>2912</v>
      </c>
      <c r="B1139" s="0" t="s">
        <v>2913</v>
      </c>
      <c r="C1139" s="0" t="s">
        <v>1005</v>
      </c>
      <c r="D1139" s="2" t="s">
        <v>19</v>
      </c>
      <c r="E1139" s="0" t="str">
        <f aca="false">VLOOKUP(D1139,Fornitori!$A$2:$C$6,2,FALSE())</f>
        <v>Elettrotecnica Ferri</v>
      </c>
      <c r="F1139" s="0" t="n">
        <v>42</v>
      </c>
      <c r="G1139" s="0" t="n">
        <v>8</v>
      </c>
      <c r="H1139" s="0" t="str">
        <f aca="false">IF(F1139&lt;G1139,"SI","NO")</f>
        <v>NO</v>
      </c>
    </row>
    <row r="1140" customFormat="false" ht="15" hidden="false" customHeight="false" outlineLevel="0" collapsed="false">
      <c r="A1140" s="0" t="s">
        <v>2914</v>
      </c>
      <c r="B1140" s="0" t="s">
        <v>2743</v>
      </c>
      <c r="C1140" s="0" t="s">
        <v>2915</v>
      </c>
      <c r="D1140" s="2" t="s">
        <v>23</v>
      </c>
      <c r="E1140" s="0" t="str">
        <f aca="false">VLOOKUP(D1140,Fornitori!$A$2:$C$6,2,FALSE())</f>
        <v>Pneumax Service</v>
      </c>
      <c r="F1140" s="0" t="n">
        <v>38</v>
      </c>
      <c r="G1140" s="0" t="n">
        <v>20</v>
      </c>
      <c r="H1140" s="0" t="str">
        <f aca="false">IF(F1140&lt;G1140,"SI","NO")</f>
        <v>NO</v>
      </c>
    </row>
    <row r="1141" customFormat="false" ht="15" hidden="false" customHeight="false" outlineLevel="0" collapsed="false">
      <c r="A1141" s="0" t="s">
        <v>2916</v>
      </c>
      <c r="B1141" s="0" t="s">
        <v>2917</v>
      </c>
      <c r="C1141" s="0" t="s">
        <v>2918</v>
      </c>
      <c r="D1141" s="2" t="s">
        <v>27</v>
      </c>
      <c r="E1141" s="0" t="str">
        <f aca="false">VLOOKUP(D1141,Fornitori!$A$2:$C$6,2,FALSE())</f>
        <v>Guarnizioni Alpi</v>
      </c>
      <c r="F1141" s="0" t="n">
        <v>17</v>
      </c>
      <c r="G1141" s="0" t="n">
        <v>5</v>
      </c>
      <c r="H1141" s="0" t="str">
        <f aca="false">IF(F1141&lt;G1141,"SI","NO")</f>
        <v>NO</v>
      </c>
    </row>
    <row r="1142" customFormat="false" ht="15" hidden="false" customHeight="false" outlineLevel="0" collapsed="false">
      <c r="A1142" s="0" t="s">
        <v>2919</v>
      </c>
      <c r="B1142" s="0" t="s">
        <v>2541</v>
      </c>
      <c r="C1142" s="0" t="s">
        <v>2920</v>
      </c>
      <c r="D1142" s="2" t="s">
        <v>11</v>
      </c>
      <c r="E1142" s="0" t="str">
        <f aca="false">VLOOKUP(D1142,Fornitori!$A$2:$C$6,2,FALSE())</f>
        <v>Meccanica Bassi S.r.l.</v>
      </c>
      <c r="F1142" s="0" t="n">
        <v>24</v>
      </c>
      <c r="G1142" s="0" t="n">
        <v>8</v>
      </c>
      <c r="H1142" s="0" t="str">
        <f aca="false">IF(F1142&lt;G1142,"SI","NO")</f>
        <v>NO</v>
      </c>
    </row>
    <row r="1143" customFormat="false" ht="15" hidden="false" customHeight="false" outlineLevel="0" collapsed="false">
      <c r="A1143" s="0" t="s">
        <v>2921</v>
      </c>
      <c r="B1143" s="0" t="s">
        <v>2922</v>
      </c>
      <c r="C1143" s="0" t="s">
        <v>2923</v>
      </c>
      <c r="D1143" s="2" t="s">
        <v>15</v>
      </c>
      <c r="E1143" s="0" t="str">
        <f aca="false">VLOOKUP(D1143,Fornitori!$A$2:$C$6,2,FALSE())</f>
        <v>Rulmeca Italia</v>
      </c>
      <c r="F1143" s="0" t="n">
        <v>34</v>
      </c>
      <c r="G1143" s="0" t="n">
        <v>12</v>
      </c>
      <c r="H1143" s="0" t="str">
        <f aca="false">IF(F1143&lt;G1143,"SI","NO")</f>
        <v>NO</v>
      </c>
    </row>
    <row r="1144" customFormat="false" ht="15" hidden="false" customHeight="false" outlineLevel="0" collapsed="false">
      <c r="A1144" s="0" t="s">
        <v>2924</v>
      </c>
      <c r="B1144" s="0" t="s">
        <v>2925</v>
      </c>
      <c r="C1144" s="0" t="s">
        <v>2087</v>
      </c>
      <c r="D1144" s="2" t="s">
        <v>19</v>
      </c>
      <c r="E1144" s="0" t="str">
        <f aca="false">VLOOKUP(D1144,Fornitori!$A$2:$C$6,2,FALSE())</f>
        <v>Elettrotecnica Ferri</v>
      </c>
      <c r="F1144" s="0" t="n">
        <v>56</v>
      </c>
      <c r="G1144" s="0" t="n">
        <v>22</v>
      </c>
      <c r="H1144" s="0" t="str">
        <f aca="false">IF(F1144&lt;G1144,"SI","NO")</f>
        <v>NO</v>
      </c>
    </row>
    <row r="1145" customFormat="false" ht="15" hidden="false" customHeight="false" outlineLevel="0" collapsed="false">
      <c r="A1145" s="0" t="s">
        <v>2926</v>
      </c>
      <c r="B1145" s="0" t="s">
        <v>2927</v>
      </c>
      <c r="C1145" s="0" t="s">
        <v>2928</v>
      </c>
      <c r="D1145" s="2" t="s">
        <v>23</v>
      </c>
      <c r="E1145" s="0" t="str">
        <f aca="false">VLOOKUP(D1145,Fornitori!$A$2:$C$6,2,FALSE())</f>
        <v>Pneumax Service</v>
      </c>
      <c r="F1145" s="0" t="n">
        <v>57</v>
      </c>
      <c r="G1145" s="0" t="n">
        <v>22</v>
      </c>
      <c r="H1145" s="0" t="str">
        <f aca="false">IF(F1145&lt;G1145,"SI","NO")</f>
        <v>NO</v>
      </c>
    </row>
    <row r="1146" customFormat="false" ht="15" hidden="false" customHeight="false" outlineLevel="0" collapsed="false">
      <c r="A1146" s="0" t="s">
        <v>2929</v>
      </c>
      <c r="B1146" s="0" t="s">
        <v>1821</v>
      </c>
      <c r="C1146" s="0" t="s">
        <v>2930</v>
      </c>
      <c r="D1146" s="2" t="s">
        <v>27</v>
      </c>
      <c r="E1146" s="0" t="str">
        <f aca="false">VLOOKUP(D1146,Fornitori!$A$2:$C$6,2,FALSE())</f>
        <v>Guarnizioni Alpi</v>
      </c>
      <c r="F1146" s="0" t="n">
        <v>45</v>
      </c>
      <c r="G1146" s="0" t="n">
        <v>6</v>
      </c>
      <c r="H1146" s="0" t="str">
        <f aca="false">IF(F1146&lt;G1146,"SI","NO")</f>
        <v>NO</v>
      </c>
    </row>
    <row r="1147" customFormat="false" ht="15" hidden="false" customHeight="false" outlineLevel="0" collapsed="false">
      <c r="A1147" s="0" t="s">
        <v>2931</v>
      </c>
      <c r="B1147" s="0" t="s">
        <v>2932</v>
      </c>
      <c r="C1147" s="0" t="s">
        <v>2399</v>
      </c>
      <c r="D1147" s="2" t="s">
        <v>11</v>
      </c>
      <c r="E1147" s="0" t="str">
        <f aca="false">VLOOKUP(D1147,Fornitori!$A$2:$C$6,2,FALSE())</f>
        <v>Meccanica Bassi S.r.l.</v>
      </c>
      <c r="F1147" s="0" t="n">
        <v>46</v>
      </c>
      <c r="G1147" s="0" t="n">
        <v>17</v>
      </c>
      <c r="H1147" s="0" t="str">
        <f aca="false">IF(F1147&lt;G1147,"SI","NO")</f>
        <v>NO</v>
      </c>
    </row>
    <row r="1148" customFormat="false" ht="15" hidden="false" customHeight="false" outlineLevel="0" collapsed="false">
      <c r="A1148" s="0" t="s">
        <v>2933</v>
      </c>
      <c r="B1148" s="0" t="s">
        <v>1534</v>
      </c>
      <c r="C1148" s="0" t="s">
        <v>1388</v>
      </c>
      <c r="D1148" s="2" t="s">
        <v>15</v>
      </c>
      <c r="E1148" s="0" t="str">
        <f aca="false">VLOOKUP(D1148,Fornitori!$A$2:$C$6,2,FALSE())</f>
        <v>Rulmeca Italia</v>
      </c>
      <c r="F1148" s="0" t="n">
        <v>9</v>
      </c>
      <c r="G1148" s="0" t="n">
        <v>8</v>
      </c>
      <c r="H1148" s="0" t="str">
        <f aca="false">IF(F1148&lt;G1148,"SI","NO")</f>
        <v>NO</v>
      </c>
    </row>
    <row r="1149" customFormat="false" ht="15" hidden="false" customHeight="false" outlineLevel="0" collapsed="false">
      <c r="A1149" s="0" t="s">
        <v>2934</v>
      </c>
      <c r="B1149" s="0" t="s">
        <v>2935</v>
      </c>
      <c r="C1149" s="0" t="s">
        <v>1913</v>
      </c>
      <c r="D1149" s="2" t="s">
        <v>19</v>
      </c>
      <c r="E1149" s="0" t="str">
        <f aca="false">VLOOKUP(D1149,Fornitori!$A$2:$C$6,2,FALSE())</f>
        <v>Elettrotecnica Ferri</v>
      </c>
      <c r="F1149" s="0" t="n">
        <v>51</v>
      </c>
      <c r="G1149" s="0" t="n">
        <v>19</v>
      </c>
      <c r="H1149" s="0" t="str">
        <f aca="false">IF(F1149&lt;G1149,"SI","NO")</f>
        <v>NO</v>
      </c>
    </row>
    <row r="1150" customFormat="false" ht="15" hidden="false" customHeight="false" outlineLevel="0" collapsed="false">
      <c r="A1150" s="0" t="s">
        <v>2936</v>
      </c>
      <c r="B1150" s="0" t="s">
        <v>2937</v>
      </c>
      <c r="C1150" s="0" t="s">
        <v>2938</v>
      </c>
      <c r="D1150" s="2" t="s">
        <v>23</v>
      </c>
      <c r="E1150" s="0" t="str">
        <f aca="false">VLOOKUP(D1150,Fornitori!$A$2:$C$6,2,FALSE())</f>
        <v>Pneumax Service</v>
      </c>
      <c r="F1150" s="0" t="n">
        <v>33</v>
      </c>
      <c r="G1150" s="0" t="n">
        <v>13</v>
      </c>
      <c r="H1150" s="0" t="str">
        <f aca="false">IF(F1150&lt;G1150,"SI","NO")</f>
        <v>NO</v>
      </c>
    </row>
    <row r="1151" customFormat="false" ht="15" hidden="false" customHeight="false" outlineLevel="0" collapsed="false">
      <c r="A1151" s="0" t="s">
        <v>2939</v>
      </c>
      <c r="B1151" s="0" t="s">
        <v>2940</v>
      </c>
      <c r="C1151" s="0" t="s">
        <v>2941</v>
      </c>
      <c r="D1151" s="2" t="s">
        <v>27</v>
      </c>
      <c r="E1151" s="0" t="str">
        <f aca="false">VLOOKUP(D1151,Fornitori!$A$2:$C$6,2,FALSE())</f>
        <v>Guarnizioni Alpi</v>
      </c>
      <c r="F1151" s="0" t="n">
        <v>53</v>
      </c>
      <c r="G1151" s="0" t="n">
        <v>5</v>
      </c>
      <c r="H1151" s="0" t="str">
        <f aca="false">IF(F1151&lt;G1151,"SI","NO")</f>
        <v>NO</v>
      </c>
    </row>
    <row r="1152" customFormat="false" ht="15" hidden="false" customHeight="false" outlineLevel="0" collapsed="false">
      <c r="A1152" s="0" t="s">
        <v>2942</v>
      </c>
      <c r="B1152" s="0" t="s">
        <v>2943</v>
      </c>
      <c r="C1152" s="0" t="s">
        <v>1443</v>
      </c>
      <c r="D1152" s="2" t="s">
        <v>11</v>
      </c>
      <c r="E1152" s="0" t="str">
        <f aca="false">VLOOKUP(D1152,Fornitori!$A$2:$C$6,2,FALSE())</f>
        <v>Meccanica Bassi S.r.l.</v>
      </c>
      <c r="F1152" s="0" t="n">
        <v>4</v>
      </c>
      <c r="G1152" s="0" t="n">
        <v>9</v>
      </c>
      <c r="H1152" s="0" t="str">
        <f aca="false">IF(F1152&lt;G1152,"SI","NO")</f>
        <v>SI</v>
      </c>
    </row>
    <row r="1153" customFormat="false" ht="15" hidden="false" customHeight="false" outlineLevel="0" collapsed="false">
      <c r="A1153" s="0" t="s">
        <v>2944</v>
      </c>
      <c r="B1153" s="0" t="s">
        <v>1840</v>
      </c>
      <c r="C1153" s="0" t="s">
        <v>987</v>
      </c>
      <c r="D1153" s="2" t="s">
        <v>15</v>
      </c>
      <c r="E1153" s="0" t="str">
        <f aca="false">VLOOKUP(D1153,Fornitori!$A$2:$C$6,2,FALSE())</f>
        <v>Rulmeca Italia</v>
      </c>
      <c r="F1153" s="0" t="n">
        <v>2</v>
      </c>
      <c r="G1153" s="0" t="n">
        <v>23</v>
      </c>
      <c r="H1153" s="0" t="str">
        <f aca="false">IF(F1153&lt;G1153,"SI","NO")</f>
        <v>SI</v>
      </c>
    </row>
    <row r="1154" customFormat="false" ht="15" hidden="false" customHeight="false" outlineLevel="0" collapsed="false">
      <c r="A1154" s="0" t="s">
        <v>2945</v>
      </c>
      <c r="B1154" s="0" t="s">
        <v>2946</v>
      </c>
      <c r="C1154" s="0" t="s">
        <v>1679</v>
      </c>
      <c r="D1154" s="2" t="s">
        <v>19</v>
      </c>
      <c r="E1154" s="0" t="str">
        <f aca="false">VLOOKUP(D1154,Fornitori!$A$2:$C$6,2,FALSE())</f>
        <v>Elettrotecnica Ferri</v>
      </c>
      <c r="F1154" s="0" t="n">
        <v>53</v>
      </c>
      <c r="G1154" s="0" t="n">
        <v>8</v>
      </c>
      <c r="H1154" s="0" t="str">
        <f aca="false">IF(F1154&lt;G1154,"SI","NO")</f>
        <v>NO</v>
      </c>
    </row>
    <row r="1155" customFormat="false" ht="15" hidden="false" customHeight="false" outlineLevel="0" collapsed="false">
      <c r="A1155" s="0" t="s">
        <v>2947</v>
      </c>
      <c r="B1155" s="0" t="s">
        <v>2948</v>
      </c>
      <c r="C1155" s="0" t="s">
        <v>2949</v>
      </c>
      <c r="D1155" s="2" t="s">
        <v>23</v>
      </c>
      <c r="E1155" s="0" t="str">
        <f aca="false">VLOOKUP(D1155,Fornitori!$A$2:$C$6,2,FALSE())</f>
        <v>Pneumax Service</v>
      </c>
      <c r="F1155" s="0" t="n">
        <v>0</v>
      </c>
      <c r="G1155" s="0" t="n">
        <v>6</v>
      </c>
      <c r="H1155" s="0" t="str">
        <f aca="false">IF(F1155&lt;G1155,"SI","NO")</f>
        <v>SI</v>
      </c>
    </row>
    <row r="1156" customFormat="false" ht="15" hidden="false" customHeight="false" outlineLevel="0" collapsed="false">
      <c r="A1156" s="0" t="s">
        <v>2950</v>
      </c>
      <c r="B1156" s="0" t="s">
        <v>2951</v>
      </c>
      <c r="C1156" s="0" t="s">
        <v>2952</v>
      </c>
      <c r="D1156" s="2" t="s">
        <v>27</v>
      </c>
      <c r="E1156" s="0" t="str">
        <f aca="false">VLOOKUP(D1156,Fornitori!$A$2:$C$6,2,FALSE())</f>
        <v>Guarnizioni Alpi</v>
      </c>
      <c r="F1156" s="0" t="n">
        <v>33</v>
      </c>
      <c r="G1156" s="0" t="n">
        <v>15</v>
      </c>
      <c r="H1156" s="0" t="str">
        <f aca="false">IF(F1156&lt;G1156,"SI","NO")</f>
        <v>NO</v>
      </c>
    </row>
    <row r="1157" customFormat="false" ht="15" hidden="false" customHeight="false" outlineLevel="0" collapsed="false">
      <c r="A1157" s="0" t="s">
        <v>2953</v>
      </c>
      <c r="B1157" s="0" t="s">
        <v>974</v>
      </c>
      <c r="C1157" s="0" t="s">
        <v>1417</v>
      </c>
      <c r="D1157" s="2" t="s">
        <v>11</v>
      </c>
      <c r="E1157" s="0" t="str">
        <f aca="false">VLOOKUP(D1157,Fornitori!$A$2:$C$6,2,FALSE())</f>
        <v>Meccanica Bassi S.r.l.</v>
      </c>
      <c r="F1157" s="0" t="n">
        <v>25</v>
      </c>
      <c r="G1157" s="0" t="n">
        <v>9</v>
      </c>
      <c r="H1157" s="0" t="str">
        <f aca="false">IF(F1157&lt;G1157,"SI","NO")</f>
        <v>NO</v>
      </c>
    </row>
    <row r="1158" customFormat="false" ht="15" hidden="false" customHeight="false" outlineLevel="0" collapsed="false">
      <c r="A1158" s="0" t="s">
        <v>2954</v>
      </c>
      <c r="B1158" s="0" t="s">
        <v>2955</v>
      </c>
      <c r="C1158" s="0" t="s">
        <v>2956</v>
      </c>
      <c r="D1158" s="2" t="s">
        <v>15</v>
      </c>
      <c r="E1158" s="0" t="str">
        <f aca="false">VLOOKUP(D1158,Fornitori!$A$2:$C$6,2,FALSE())</f>
        <v>Rulmeca Italia</v>
      </c>
      <c r="F1158" s="0" t="n">
        <v>11</v>
      </c>
      <c r="G1158" s="0" t="n">
        <v>9</v>
      </c>
      <c r="H1158" s="0" t="str">
        <f aca="false">IF(F1158&lt;G1158,"SI","NO")</f>
        <v>NO</v>
      </c>
    </row>
    <row r="1159" customFormat="false" ht="15" hidden="false" customHeight="false" outlineLevel="0" collapsed="false">
      <c r="A1159" s="0" t="s">
        <v>2957</v>
      </c>
      <c r="B1159" s="0" t="s">
        <v>2958</v>
      </c>
      <c r="C1159" s="0" t="s">
        <v>2959</v>
      </c>
      <c r="D1159" s="2" t="s">
        <v>19</v>
      </c>
      <c r="E1159" s="0" t="str">
        <f aca="false">VLOOKUP(D1159,Fornitori!$A$2:$C$6,2,FALSE())</f>
        <v>Elettrotecnica Ferri</v>
      </c>
      <c r="F1159" s="0" t="n">
        <v>1</v>
      </c>
      <c r="G1159" s="0" t="n">
        <v>8</v>
      </c>
      <c r="H1159" s="0" t="str">
        <f aca="false">IF(F1159&lt;G1159,"SI","NO")</f>
        <v>SI</v>
      </c>
    </row>
    <row r="1160" customFormat="false" ht="15" hidden="false" customHeight="false" outlineLevel="0" collapsed="false">
      <c r="A1160" s="0" t="s">
        <v>2960</v>
      </c>
      <c r="B1160" s="0" t="s">
        <v>2209</v>
      </c>
      <c r="C1160" s="0" t="s">
        <v>517</v>
      </c>
      <c r="D1160" s="2" t="s">
        <v>23</v>
      </c>
      <c r="E1160" s="0" t="str">
        <f aca="false">VLOOKUP(D1160,Fornitori!$A$2:$C$6,2,FALSE())</f>
        <v>Pneumax Service</v>
      </c>
      <c r="F1160" s="0" t="n">
        <v>6</v>
      </c>
      <c r="G1160" s="0" t="n">
        <v>14</v>
      </c>
      <c r="H1160" s="0" t="str">
        <f aca="false">IF(F1160&lt;G1160,"SI","NO")</f>
        <v>SI</v>
      </c>
    </row>
    <row r="1161" customFormat="false" ht="15" hidden="false" customHeight="false" outlineLevel="0" collapsed="false">
      <c r="A1161" s="0" t="s">
        <v>2961</v>
      </c>
      <c r="B1161" s="0" t="s">
        <v>1595</v>
      </c>
      <c r="C1161" s="0" t="s">
        <v>2962</v>
      </c>
      <c r="D1161" s="2" t="s">
        <v>27</v>
      </c>
      <c r="E1161" s="0" t="str">
        <f aca="false">VLOOKUP(D1161,Fornitori!$A$2:$C$6,2,FALSE())</f>
        <v>Guarnizioni Alpi</v>
      </c>
      <c r="F1161" s="0" t="n">
        <v>5</v>
      </c>
      <c r="G1161" s="0" t="n">
        <v>16</v>
      </c>
      <c r="H1161" s="0" t="str">
        <f aca="false">IF(F1161&lt;G1161,"SI","NO")</f>
        <v>SI</v>
      </c>
    </row>
    <row r="1162" customFormat="false" ht="15" hidden="false" customHeight="false" outlineLevel="0" collapsed="false">
      <c r="A1162" s="0" t="s">
        <v>2963</v>
      </c>
      <c r="B1162" s="0" t="s">
        <v>2964</v>
      </c>
      <c r="C1162" s="0" t="s">
        <v>2366</v>
      </c>
      <c r="D1162" s="2" t="s">
        <v>11</v>
      </c>
      <c r="E1162" s="0" t="str">
        <f aca="false">VLOOKUP(D1162,Fornitori!$A$2:$C$6,2,FALSE())</f>
        <v>Meccanica Bassi S.r.l.</v>
      </c>
      <c r="F1162" s="0" t="n">
        <v>59</v>
      </c>
      <c r="G1162" s="0" t="n">
        <v>5</v>
      </c>
      <c r="H1162" s="0" t="str">
        <f aca="false">IF(F1162&lt;G1162,"SI","NO")</f>
        <v>NO</v>
      </c>
    </row>
    <row r="1163" customFormat="false" ht="15" hidden="false" customHeight="false" outlineLevel="0" collapsed="false">
      <c r="A1163" s="0" t="s">
        <v>2965</v>
      </c>
      <c r="B1163" s="0" t="s">
        <v>2966</v>
      </c>
      <c r="C1163" s="0" t="s">
        <v>2491</v>
      </c>
      <c r="D1163" s="2" t="s">
        <v>15</v>
      </c>
      <c r="E1163" s="0" t="str">
        <f aca="false">VLOOKUP(D1163,Fornitori!$A$2:$C$6,2,FALSE())</f>
        <v>Rulmeca Italia</v>
      </c>
      <c r="F1163" s="0" t="n">
        <v>15</v>
      </c>
      <c r="G1163" s="0" t="n">
        <v>19</v>
      </c>
      <c r="H1163" s="0" t="str">
        <f aca="false">IF(F1163&lt;G1163,"SI","NO")</f>
        <v>SI</v>
      </c>
    </row>
    <row r="1164" customFormat="false" ht="15" hidden="false" customHeight="false" outlineLevel="0" collapsed="false">
      <c r="A1164" s="0" t="s">
        <v>2967</v>
      </c>
      <c r="B1164" s="0" t="s">
        <v>2968</v>
      </c>
      <c r="C1164" s="0" t="s">
        <v>2969</v>
      </c>
      <c r="D1164" s="2" t="s">
        <v>19</v>
      </c>
      <c r="E1164" s="0" t="str">
        <f aca="false">VLOOKUP(D1164,Fornitori!$A$2:$C$6,2,FALSE())</f>
        <v>Elettrotecnica Ferri</v>
      </c>
      <c r="F1164" s="0" t="n">
        <v>25</v>
      </c>
      <c r="G1164" s="0" t="n">
        <v>15</v>
      </c>
      <c r="H1164" s="0" t="str">
        <f aca="false">IF(F1164&lt;G1164,"SI","NO")</f>
        <v>NO</v>
      </c>
    </row>
    <row r="1165" customFormat="false" ht="15" hidden="false" customHeight="false" outlineLevel="0" collapsed="false">
      <c r="A1165" s="0" t="s">
        <v>2970</v>
      </c>
      <c r="B1165" s="0" t="s">
        <v>1206</v>
      </c>
      <c r="C1165" s="0" t="s">
        <v>523</v>
      </c>
      <c r="D1165" s="2" t="s">
        <v>23</v>
      </c>
      <c r="E1165" s="0" t="str">
        <f aca="false">VLOOKUP(D1165,Fornitori!$A$2:$C$6,2,FALSE())</f>
        <v>Pneumax Service</v>
      </c>
      <c r="F1165" s="0" t="n">
        <v>50</v>
      </c>
      <c r="G1165" s="0" t="n">
        <v>19</v>
      </c>
      <c r="H1165" s="0" t="str">
        <f aca="false">IF(F1165&lt;G1165,"SI","NO")</f>
        <v>NO</v>
      </c>
    </row>
    <row r="1166" customFormat="false" ht="15" hidden="false" customHeight="false" outlineLevel="0" collapsed="false">
      <c r="A1166" s="0" t="s">
        <v>2971</v>
      </c>
      <c r="B1166" s="0" t="s">
        <v>2972</v>
      </c>
      <c r="C1166" s="0" t="s">
        <v>2973</v>
      </c>
      <c r="D1166" s="2" t="s">
        <v>27</v>
      </c>
      <c r="E1166" s="0" t="str">
        <f aca="false">VLOOKUP(D1166,Fornitori!$A$2:$C$6,2,FALSE())</f>
        <v>Guarnizioni Alpi</v>
      </c>
      <c r="F1166" s="0" t="n">
        <v>26</v>
      </c>
      <c r="G1166" s="0" t="n">
        <v>14</v>
      </c>
      <c r="H1166" s="0" t="str">
        <f aca="false">IF(F1166&lt;G1166,"SI","NO")</f>
        <v>NO</v>
      </c>
    </row>
    <row r="1167" customFormat="false" ht="15" hidden="false" customHeight="false" outlineLevel="0" collapsed="false">
      <c r="A1167" s="0" t="s">
        <v>2974</v>
      </c>
      <c r="B1167" s="0" t="s">
        <v>2975</v>
      </c>
      <c r="C1167" s="0" t="s">
        <v>2976</v>
      </c>
      <c r="D1167" s="2" t="s">
        <v>11</v>
      </c>
      <c r="E1167" s="0" t="str">
        <f aca="false">VLOOKUP(D1167,Fornitori!$A$2:$C$6,2,FALSE())</f>
        <v>Meccanica Bassi S.r.l.</v>
      </c>
      <c r="F1167" s="0" t="n">
        <v>28</v>
      </c>
      <c r="G1167" s="0" t="n">
        <v>14</v>
      </c>
      <c r="H1167" s="0" t="str">
        <f aca="false">IF(F1167&lt;G1167,"SI","NO")</f>
        <v>NO</v>
      </c>
    </row>
    <row r="1168" customFormat="false" ht="15" hidden="false" customHeight="false" outlineLevel="0" collapsed="false">
      <c r="A1168" s="0" t="s">
        <v>2977</v>
      </c>
      <c r="B1168" s="0" t="s">
        <v>531</v>
      </c>
      <c r="C1168" s="0" t="s">
        <v>313</v>
      </c>
      <c r="D1168" s="2" t="s">
        <v>15</v>
      </c>
      <c r="E1168" s="0" t="str">
        <f aca="false">VLOOKUP(D1168,Fornitori!$A$2:$C$6,2,FALSE())</f>
        <v>Rulmeca Italia</v>
      </c>
      <c r="F1168" s="0" t="n">
        <v>39</v>
      </c>
      <c r="G1168" s="0" t="n">
        <v>7</v>
      </c>
      <c r="H1168" s="0" t="str">
        <f aca="false">IF(F1168&lt;G1168,"SI","NO")</f>
        <v>NO</v>
      </c>
    </row>
    <row r="1169" customFormat="false" ht="15" hidden="false" customHeight="false" outlineLevel="0" collapsed="false">
      <c r="A1169" s="0" t="s">
        <v>2978</v>
      </c>
      <c r="B1169" s="0" t="s">
        <v>1007</v>
      </c>
      <c r="C1169" s="0" t="s">
        <v>2979</v>
      </c>
      <c r="D1169" s="2" t="s">
        <v>19</v>
      </c>
      <c r="E1169" s="0" t="str">
        <f aca="false">VLOOKUP(D1169,Fornitori!$A$2:$C$6,2,FALSE())</f>
        <v>Elettrotecnica Ferri</v>
      </c>
      <c r="F1169" s="0" t="n">
        <v>55</v>
      </c>
      <c r="G1169" s="0" t="n">
        <v>18</v>
      </c>
      <c r="H1169" s="0" t="str">
        <f aca="false">IF(F1169&lt;G1169,"SI","NO")</f>
        <v>NO</v>
      </c>
    </row>
    <row r="1170" customFormat="false" ht="15" hidden="false" customHeight="false" outlineLevel="0" collapsed="false">
      <c r="A1170" s="0" t="s">
        <v>2980</v>
      </c>
      <c r="B1170" s="0" t="s">
        <v>1832</v>
      </c>
      <c r="C1170" s="0" t="s">
        <v>2981</v>
      </c>
      <c r="D1170" s="2" t="s">
        <v>23</v>
      </c>
      <c r="E1170" s="0" t="str">
        <f aca="false">VLOOKUP(D1170,Fornitori!$A$2:$C$6,2,FALSE())</f>
        <v>Pneumax Service</v>
      </c>
      <c r="F1170" s="0" t="n">
        <v>14</v>
      </c>
      <c r="G1170" s="0" t="n">
        <v>21</v>
      </c>
      <c r="H1170" s="0" t="str">
        <f aca="false">IF(F1170&lt;G1170,"SI","NO")</f>
        <v>SI</v>
      </c>
    </row>
    <row r="1171" customFormat="false" ht="15" hidden="false" customHeight="false" outlineLevel="0" collapsed="false">
      <c r="A1171" s="0" t="s">
        <v>2982</v>
      </c>
      <c r="B1171" s="0" t="s">
        <v>1666</v>
      </c>
      <c r="C1171" s="0" t="s">
        <v>541</v>
      </c>
      <c r="D1171" s="2" t="s">
        <v>27</v>
      </c>
      <c r="E1171" s="0" t="str">
        <f aca="false">VLOOKUP(D1171,Fornitori!$A$2:$C$6,2,FALSE())</f>
        <v>Guarnizioni Alpi</v>
      </c>
      <c r="F1171" s="0" t="n">
        <v>30</v>
      </c>
      <c r="G1171" s="0" t="n">
        <v>17</v>
      </c>
      <c r="H1171" s="0" t="str">
        <f aca="false">IF(F1171&lt;G1171,"SI","NO")</f>
        <v>NO</v>
      </c>
    </row>
    <row r="1172" customFormat="false" ht="15" hidden="false" customHeight="false" outlineLevel="0" collapsed="false">
      <c r="A1172" s="0" t="s">
        <v>2983</v>
      </c>
      <c r="B1172" s="0" t="s">
        <v>1813</v>
      </c>
      <c r="C1172" s="0" t="s">
        <v>2984</v>
      </c>
      <c r="D1172" s="2" t="s">
        <v>11</v>
      </c>
      <c r="E1172" s="0" t="str">
        <f aca="false">VLOOKUP(D1172,Fornitori!$A$2:$C$6,2,FALSE())</f>
        <v>Meccanica Bassi S.r.l.</v>
      </c>
      <c r="F1172" s="0" t="n">
        <v>46</v>
      </c>
      <c r="G1172" s="0" t="n">
        <v>7</v>
      </c>
      <c r="H1172" s="0" t="str">
        <f aca="false">IF(F1172&lt;G1172,"SI","NO")</f>
        <v>NO</v>
      </c>
    </row>
    <row r="1173" customFormat="false" ht="15" hidden="false" customHeight="false" outlineLevel="0" collapsed="false">
      <c r="A1173" s="0" t="s">
        <v>2985</v>
      </c>
      <c r="B1173" s="0" t="s">
        <v>2171</v>
      </c>
      <c r="C1173" s="0" t="s">
        <v>2136</v>
      </c>
      <c r="D1173" s="2" t="s">
        <v>15</v>
      </c>
      <c r="E1173" s="0" t="str">
        <f aca="false">VLOOKUP(D1173,Fornitori!$A$2:$C$6,2,FALSE())</f>
        <v>Rulmeca Italia</v>
      </c>
      <c r="F1173" s="0" t="n">
        <v>32</v>
      </c>
      <c r="G1173" s="0" t="n">
        <v>9</v>
      </c>
      <c r="H1173" s="0" t="str">
        <f aca="false">IF(F1173&lt;G1173,"SI","NO")</f>
        <v>NO</v>
      </c>
    </row>
    <row r="1174" customFormat="false" ht="15" hidden="false" customHeight="false" outlineLevel="0" collapsed="false">
      <c r="A1174" s="0" t="s">
        <v>2986</v>
      </c>
      <c r="B1174" s="0" t="s">
        <v>2987</v>
      </c>
      <c r="C1174" s="0" t="s">
        <v>380</v>
      </c>
      <c r="D1174" s="2" t="s">
        <v>19</v>
      </c>
      <c r="E1174" s="0" t="str">
        <f aca="false">VLOOKUP(D1174,Fornitori!$A$2:$C$6,2,FALSE())</f>
        <v>Elettrotecnica Ferri</v>
      </c>
      <c r="F1174" s="0" t="n">
        <v>58</v>
      </c>
      <c r="G1174" s="0" t="n">
        <v>23</v>
      </c>
      <c r="H1174" s="0" t="str">
        <f aca="false">IF(F1174&lt;G1174,"SI","NO")</f>
        <v>NO</v>
      </c>
    </row>
    <row r="1175" customFormat="false" ht="15" hidden="false" customHeight="false" outlineLevel="0" collapsed="false">
      <c r="A1175" s="0" t="s">
        <v>2988</v>
      </c>
      <c r="B1175" s="0" t="s">
        <v>2989</v>
      </c>
      <c r="C1175" s="0" t="s">
        <v>2990</v>
      </c>
      <c r="D1175" s="2" t="s">
        <v>23</v>
      </c>
      <c r="E1175" s="0" t="str">
        <f aca="false">VLOOKUP(D1175,Fornitori!$A$2:$C$6,2,FALSE())</f>
        <v>Pneumax Service</v>
      </c>
      <c r="F1175" s="0" t="n">
        <v>40</v>
      </c>
      <c r="G1175" s="0" t="n">
        <v>21</v>
      </c>
      <c r="H1175" s="0" t="str">
        <f aca="false">IF(F1175&lt;G1175,"SI","NO")</f>
        <v>NO</v>
      </c>
    </row>
    <row r="1176" customFormat="false" ht="15" hidden="false" customHeight="false" outlineLevel="0" collapsed="false">
      <c r="A1176" s="0" t="s">
        <v>2991</v>
      </c>
      <c r="B1176" s="0" t="s">
        <v>2992</v>
      </c>
      <c r="C1176" s="0" t="s">
        <v>2993</v>
      </c>
      <c r="D1176" s="2" t="s">
        <v>27</v>
      </c>
      <c r="E1176" s="0" t="str">
        <f aca="false">VLOOKUP(D1176,Fornitori!$A$2:$C$6,2,FALSE())</f>
        <v>Guarnizioni Alpi</v>
      </c>
      <c r="F1176" s="0" t="n">
        <v>34</v>
      </c>
      <c r="G1176" s="0" t="n">
        <v>20</v>
      </c>
      <c r="H1176" s="0" t="str">
        <f aca="false">IF(F1176&lt;G1176,"SI","NO")</f>
        <v>NO</v>
      </c>
    </row>
    <row r="1177" customFormat="false" ht="15" hidden="false" customHeight="false" outlineLevel="0" collapsed="false">
      <c r="A1177" s="0" t="s">
        <v>2994</v>
      </c>
      <c r="B1177" s="0" t="s">
        <v>723</v>
      </c>
      <c r="C1177" s="0" t="s">
        <v>2995</v>
      </c>
      <c r="D1177" s="2" t="s">
        <v>11</v>
      </c>
      <c r="E1177" s="0" t="str">
        <f aca="false">VLOOKUP(D1177,Fornitori!$A$2:$C$6,2,FALSE())</f>
        <v>Meccanica Bassi S.r.l.</v>
      </c>
      <c r="F1177" s="0" t="n">
        <v>26</v>
      </c>
      <c r="G1177" s="0" t="n">
        <v>11</v>
      </c>
      <c r="H1177" s="0" t="str">
        <f aca="false">IF(F1177&lt;G1177,"SI","NO")</f>
        <v>NO</v>
      </c>
    </row>
    <row r="1178" customFormat="false" ht="15" hidden="false" customHeight="false" outlineLevel="0" collapsed="false">
      <c r="A1178" s="0" t="s">
        <v>2996</v>
      </c>
      <c r="B1178" s="0" t="s">
        <v>2997</v>
      </c>
      <c r="C1178" s="0" t="s">
        <v>2998</v>
      </c>
      <c r="D1178" s="2" t="s">
        <v>15</v>
      </c>
      <c r="E1178" s="0" t="str">
        <f aca="false">VLOOKUP(D1178,Fornitori!$A$2:$C$6,2,FALSE())</f>
        <v>Rulmeca Italia</v>
      </c>
      <c r="F1178" s="0" t="n">
        <v>12</v>
      </c>
      <c r="G1178" s="0" t="n">
        <v>18</v>
      </c>
      <c r="H1178" s="0" t="str">
        <f aca="false">IF(F1178&lt;G1178,"SI","NO")</f>
        <v>SI</v>
      </c>
    </row>
    <row r="1179" customFormat="false" ht="15" hidden="false" customHeight="false" outlineLevel="0" collapsed="false">
      <c r="A1179" s="0" t="s">
        <v>2999</v>
      </c>
      <c r="B1179" s="0" t="s">
        <v>1930</v>
      </c>
      <c r="C1179" s="0" t="s">
        <v>3000</v>
      </c>
      <c r="D1179" s="2" t="s">
        <v>19</v>
      </c>
      <c r="E1179" s="0" t="str">
        <f aca="false">VLOOKUP(D1179,Fornitori!$A$2:$C$6,2,FALSE())</f>
        <v>Elettrotecnica Ferri</v>
      </c>
      <c r="F1179" s="0" t="n">
        <v>23</v>
      </c>
      <c r="G1179" s="0" t="n">
        <v>17</v>
      </c>
      <c r="H1179" s="0" t="str">
        <f aca="false">IF(F1179&lt;G1179,"SI","NO")</f>
        <v>NO</v>
      </c>
    </row>
    <row r="1180" customFormat="false" ht="15" hidden="false" customHeight="false" outlineLevel="0" collapsed="false">
      <c r="A1180" s="0" t="s">
        <v>3001</v>
      </c>
      <c r="B1180" s="0" t="s">
        <v>3002</v>
      </c>
      <c r="C1180" s="0" t="s">
        <v>3003</v>
      </c>
      <c r="D1180" s="2" t="s">
        <v>23</v>
      </c>
      <c r="E1180" s="0" t="str">
        <f aca="false">VLOOKUP(D1180,Fornitori!$A$2:$C$6,2,FALSE())</f>
        <v>Pneumax Service</v>
      </c>
      <c r="F1180" s="0" t="n">
        <v>7</v>
      </c>
      <c r="G1180" s="0" t="n">
        <v>23</v>
      </c>
      <c r="H1180" s="0" t="str">
        <f aca="false">IF(F1180&lt;G1180,"SI","NO")</f>
        <v>SI</v>
      </c>
    </row>
    <row r="1181" customFormat="false" ht="15" hidden="false" customHeight="false" outlineLevel="0" collapsed="false">
      <c r="A1181" s="0" t="s">
        <v>3004</v>
      </c>
      <c r="B1181" s="0" t="s">
        <v>3005</v>
      </c>
      <c r="C1181" s="0" t="s">
        <v>3006</v>
      </c>
      <c r="D1181" s="2" t="s">
        <v>27</v>
      </c>
      <c r="E1181" s="0" t="str">
        <f aca="false">VLOOKUP(D1181,Fornitori!$A$2:$C$6,2,FALSE())</f>
        <v>Guarnizioni Alpi</v>
      </c>
      <c r="F1181" s="0" t="n">
        <v>40</v>
      </c>
      <c r="G1181" s="0" t="n">
        <v>10</v>
      </c>
      <c r="H1181" s="0" t="str">
        <f aca="false">IF(F1181&lt;G1181,"SI","NO")</f>
        <v>NO</v>
      </c>
    </row>
    <row r="1182" customFormat="false" ht="15" hidden="false" customHeight="false" outlineLevel="0" collapsed="false">
      <c r="A1182" s="0" t="s">
        <v>3007</v>
      </c>
      <c r="B1182" s="0" t="s">
        <v>397</v>
      </c>
      <c r="C1182" s="0" t="s">
        <v>3008</v>
      </c>
      <c r="D1182" s="2" t="s">
        <v>11</v>
      </c>
      <c r="E1182" s="0" t="str">
        <f aca="false">VLOOKUP(D1182,Fornitori!$A$2:$C$6,2,FALSE())</f>
        <v>Meccanica Bassi S.r.l.</v>
      </c>
      <c r="F1182" s="0" t="n">
        <v>24</v>
      </c>
      <c r="G1182" s="0" t="n">
        <v>15</v>
      </c>
      <c r="H1182" s="0" t="str">
        <f aca="false">IF(F1182&lt;G1182,"SI","NO")</f>
        <v>NO</v>
      </c>
    </row>
    <row r="1183" customFormat="false" ht="15" hidden="false" customHeight="false" outlineLevel="0" collapsed="false">
      <c r="A1183" s="0" t="s">
        <v>3009</v>
      </c>
      <c r="B1183" s="0" t="s">
        <v>3010</v>
      </c>
      <c r="C1183" s="0" t="s">
        <v>3011</v>
      </c>
      <c r="D1183" s="2" t="s">
        <v>15</v>
      </c>
      <c r="E1183" s="0" t="str">
        <f aca="false">VLOOKUP(D1183,Fornitori!$A$2:$C$6,2,FALSE())</f>
        <v>Rulmeca Italia</v>
      </c>
      <c r="F1183" s="0" t="n">
        <v>32</v>
      </c>
      <c r="G1183" s="0" t="n">
        <v>11</v>
      </c>
      <c r="H1183" s="0" t="str">
        <f aca="false">IF(F1183&lt;G1183,"SI","NO")</f>
        <v>NO</v>
      </c>
    </row>
    <row r="1184" customFormat="false" ht="15" hidden="false" customHeight="false" outlineLevel="0" collapsed="false">
      <c r="A1184" s="0" t="s">
        <v>3012</v>
      </c>
      <c r="B1184" s="0" t="s">
        <v>229</v>
      </c>
      <c r="C1184" s="0" t="s">
        <v>2923</v>
      </c>
      <c r="D1184" s="2" t="s">
        <v>19</v>
      </c>
      <c r="E1184" s="0" t="str">
        <f aca="false">VLOOKUP(D1184,Fornitori!$A$2:$C$6,2,FALSE())</f>
        <v>Elettrotecnica Ferri</v>
      </c>
      <c r="F1184" s="0" t="n">
        <v>50</v>
      </c>
      <c r="G1184" s="0" t="n">
        <v>7</v>
      </c>
      <c r="H1184" s="0" t="str">
        <f aca="false">IF(F1184&lt;G1184,"SI","NO")</f>
        <v>NO</v>
      </c>
    </row>
    <row r="1185" customFormat="false" ht="15" hidden="false" customHeight="false" outlineLevel="0" collapsed="false">
      <c r="A1185" s="0" t="s">
        <v>3013</v>
      </c>
      <c r="B1185" s="0" t="s">
        <v>1206</v>
      </c>
      <c r="C1185" s="0" t="s">
        <v>2105</v>
      </c>
      <c r="D1185" s="2" t="s">
        <v>23</v>
      </c>
      <c r="E1185" s="0" t="str">
        <f aca="false">VLOOKUP(D1185,Fornitori!$A$2:$C$6,2,FALSE())</f>
        <v>Pneumax Service</v>
      </c>
      <c r="F1185" s="0" t="n">
        <v>57</v>
      </c>
      <c r="G1185" s="0" t="n">
        <v>22</v>
      </c>
      <c r="H1185" s="0" t="str">
        <f aca="false">IF(F1185&lt;G1185,"SI","NO")</f>
        <v>NO</v>
      </c>
    </row>
    <row r="1186" customFormat="false" ht="15" hidden="false" customHeight="false" outlineLevel="0" collapsed="false">
      <c r="A1186" s="0" t="s">
        <v>3014</v>
      </c>
      <c r="B1186" s="0" t="s">
        <v>3015</v>
      </c>
      <c r="C1186" s="0" t="s">
        <v>1956</v>
      </c>
      <c r="D1186" s="2" t="s">
        <v>27</v>
      </c>
      <c r="E1186" s="0" t="str">
        <f aca="false">VLOOKUP(D1186,Fornitori!$A$2:$C$6,2,FALSE())</f>
        <v>Guarnizioni Alpi</v>
      </c>
      <c r="F1186" s="0" t="n">
        <v>4</v>
      </c>
      <c r="G1186" s="0" t="n">
        <v>10</v>
      </c>
      <c r="H1186" s="0" t="str">
        <f aca="false">IF(F1186&lt;G1186,"SI","NO")</f>
        <v>SI</v>
      </c>
    </row>
    <row r="1187" customFormat="false" ht="15" hidden="false" customHeight="false" outlineLevel="0" collapsed="false">
      <c r="A1187" s="0" t="s">
        <v>3016</v>
      </c>
      <c r="B1187" s="0" t="s">
        <v>178</v>
      </c>
      <c r="C1187" s="0" t="s">
        <v>1403</v>
      </c>
      <c r="D1187" s="2" t="s">
        <v>11</v>
      </c>
      <c r="E1187" s="0" t="str">
        <f aca="false">VLOOKUP(D1187,Fornitori!$A$2:$C$6,2,FALSE())</f>
        <v>Meccanica Bassi S.r.l.</v>
      </c>
      <c r="F1187" s="0" t="n">
        <v>58</v>
      </c>
      <c r="G1187" s="0" t="n">
        <v>21</v>
      </c>
      <c r="H1187" s="0" t="str">
        <f aca="false">IF(F1187&lt;G1187,"SI","NO")</f>
        <v>NO</v>
      </c>
    </row>
    <row r="1188" customFormat="false" ht="15" hidden="false" customHeight="false" outlineLevel="0" collapsed="false">
      <c r="A1188" s="0" t="s">
        <v>3017</v>
      </c>
      <c r="B1188" s="0" t="s">
        <v>3018</v>
      </c>
      <c r="C1188" s="0" t="s">
        <v>3019</v>
      </c>
      <c r="D1188" s="2" t="s">
        <v>15</v>
      </c>
      <c r="E1188" s="0" t="str">
        <f aca="false">VLOOKUP(D1188,Fornitori!$A$2:$C$6,2,FALSE())</f>
        <v>Rulmeca Italia</v>
      </c>
      <c r="F1188" s="0" t="n">
        <v>20</v>
      </c>
      <c r="G1188" s="0" t="n">
        <v>18</v>
      </c>
      <c r="H1188" s="0" t="str">
        <f aca="false">IF(F1188&lt;G1188,"SI","NO")</f>
        <v>NO</v>
      </c>
    </row>
    <row r="1189" customFormat="false" ht="15" hidden="false" customHeight="false" outlineLevel="0" collapsed="false">
      <c r="A1189" s="0" t="s">
        <v>3020</v>
      </c>
      <c r="B1189" s="0" t="s">
        <v>3021</v>
      </c>
      <c r="C1189" s="0" t="s">
        <v>3022</v>
      </c>
      <c r="D1189" s="2" t="s">
        <v>19</v>
      </c>
      <c r="E1189" s="0" t="str">
        <f aca="false">VLOOKUP(D1189,Fornitori!$A$2:$C$6,2,FALSE())</f>
        <v>Elettrotecnica Ferri</v>
      </c>
      <c r="F1189" s="0" t="n">
        <v>20</v>
      </c>
      <c r="G1189" s="0" t="n">
        <v>6</v>
      </c>
      <c r="H1189" s="0" t="str">
        <f aca="false">IF(F1189&lt;G1189,"SI","NO")</f>
        <v>NO</v>
      </c>
    </row>
    <row r="1190" customFormat="false" ht="15" hidden="false" customHeight="false" outlineLevel="0" collapsed="false">
      <c r="A1190" s="0" t="s">
        <v>3023</v>
      </c>
      <c r="B1190" s="0" t="s">
        <v>3024</v>
      </c>
      <c r="C1190" s="0" t="s">
        <v>2095</v>
      </c>
      <c r="D1190" s="2" t="s">
        <v>23</v>
      </c>
      <c r="E1190" s="0" t="str">
        <f aca="false">VLOOKUP(D1190,Fornitori!$A$2:$C$6,2,FALSE())</f>
        <v>Pneumax Service</v>
      </c>
      <c r="F1190" s="0" t="n">
        <v>14</v>
      </c>
      <c r="G1190" s="0" t="n">
        <v>13</v>
      </c>
      <c r="H1190" s="0" t="str">
        <f aca="false">IF(F1190&lt;G1190,"SI","NO")</f>
        <v>NO</v>
      </c>
    </row>
    <row r="1191" customFormat="false" ht="15" hidden="false" customHeight="false" outlineLevel="0" collapsed="false">
      <c r="A1191" s="0" t="s">
        <v>3025</v>
      </c>
      <c r="B1191" s="0" t="s">
        <v>2167</v>
      </c>
      <c r="C1191" s="0" t="s">
        <v>1039</v>
      </c>
      <c r="D1191" s="2" t="s">
        <v>27</v>
      </c>
      <c r="E1191" s="0" t="str">
        <f aca="false">VLOOKUP(D1191,Fornitori!$A$2:$C$6,2,FALSE())</f>
        <v>Guarnizioni Alpi</v>
      </c>
      <c r="F1191" s="0" t="n">
        <v>48</v>
      </c>
      <c r="G1191" s="0" t="n">
        <v>19</v>
      </c>
      <c r="H1191" s="0" t="str">
        <f aca="false">IF(F1191&lt;G1191,"SI","NO")</f>
        <v>NO</v>
      </c>
    </row>
    <row r="1192" customFormat="false" ht="15" hidden="false" customHeight="false" outlineLevel="0" collapsed="false">
      <c r="A1192" s="0" t="s">
        <v>3026</v>
      </c>
      <c r="B1192" s="0" t="s">
        <v>820</v>
      </c>
      <c r="C1192" s="0" t="s">
        <v>2896</v>
      </c>
      <c r="D1192" s="2" t="s">
        <v>11</v>
      </c>
      <c r="E1192" s="0" t="str">
        <f aca="false">VLOOKUP(D1192,Fornitori!$A$2:$C$6,2,FALSE())</f>
        <v>Meccanica Bassi S.r.l.</v>
      </c>
      <c r="F1192" s="0" t="n">
        <v>12</v>
      </c>
      <c r="G1192" s="0" t="n">
        <v>14</v>
      </c>
      <c r="H1192" s="0" t="str">
        <f aca="false">IF(F1192&lt;G1192,"SI","NO")</f>
        <v>SI</v>
      </c>
    </row>
    <row r="1193" customFormat="false" ht="15" hidden="false" customHeight="false" outlineLevel="0" collapsed="false">
      <c r="A1193" s="0" t="s">
        <v>3027</v>
      </c>
      <c r="B1193" s="0" t="s">
        <v>3028</v>
      </c>
      <c r="C1193" s="0" t="s">
        <v>3029</v>
      </c>
      <c r="D1193" s="2" t="s">
        <v>15</v>
      </c>
      <c r="E1193" s="0" t="str">
        <f aca="false">VLOOKUP(D1193,Fornitori!$A$2:$C$6,2,FALSE())</f>
        <v>Rulmeca Italia</v>
      </c>
      <c r="F1193" s="0" t="n">
        <v>40</v>
      </c>
      <c r="G1193" s="0" t="n">
        <v>8</v>
      </c>
      <c r="H1193" s="0" t="str">
        <f aca="false">IF(F1193&lt;G1193,"SI","NO")</f>
        <v>NO</v>
      </c>
    </row>
    <row r="1194" customFormat="false" ht="15" hidden="false" customHeight="false" outlineLevel="0" collapsed="false">
      <c r="A1194" s="0" t="s">
        <v>3030</v>
      </c>
      <c r="B1194" s="0" t="s">
        <v>3031</v>
      </c>
      <c r="C1194" s="0" t="s">
        <v>3032</v>
      </c>
      <c r="D1194" s="2" t="s">
        <v>19</v>
      </c>
      <c r="E1194" s="0" t="str">
        <f aca="false">VLOOKUP(D1194,Fornitori!$A$2:$C$6,2,FALSE())</f>
        <v>Elettrotecnica Ferri</v>
      </c>
      <c r="F1194" s="0" t="n">
        <v>20</v>
      </c>
      <c r="G1194" s="0" t="n">
        <v>5</v>
      </c>
      <c r="H1194" s="0" t="str">
        <f aca="false">IF(F1194&lt;G1194,"SI","NO")</f>
        <v>NO</v>
      </c>
    </row>
    <row r="1195" customFormat="false" ht="15" hidden="false" customHeight="false" outlineLevel="0" collapsed="false">
      <c r="A1195" s="0" t="s">
        <v>3033</v>
      </c>
      <c r="B1195" s="0" t="s">
        <v>3034</v>
      </c>
      <c r="C1195" s="0" t="s">
        <v>1294</v>
      </c>
      <c r="D1195" s="2" t="s">
        <v>23</v>
      </c>
      <c r="E1195" s="0" t="str">
        <f aca="false">VLOOKUP(D1195,Fornitori!$A$2:$C$6,2,FALSE())</f>
        <v>Pneumax Service</v>
      </c>
      <c r="F1195" s="0" t="n">
        <v>23</v>
      </c>
      <c r="G1195" s="0" t="n">
        <v>14</v>
      </c>
      <c r="H1195" s="0" t="str">
        <f aca="false">IF(F1195&lt;G1195,"SI","NO")</f>
        <v>NO</v>
      </c>
    </row>
    <row r="1196" customFormat="false" ht="15" hidden="false" customHeight="false" outlineLevel="0" collapsed="false">
      <c r="A1196" s="0" t="s">
        <v>3035</v>
      </c>
      <c r="B1196" s="0" t="s">
        <v>3036</v>
      </c>
      <c r="C1196" s="0" t="s">
        <v>131</v>
      </c>
      <c r="D1196" s="2" t="s">
        <v>27</v>
      </c>
      <c r="E1196" s="0" t="str">
        <f aca="false">VLOOKUP(D1196,Fornitori!$A$2:$C$6,2,FALSE())</f>
        <v>Guarnizioni Alpi</v>
      </c>
      <c r="F1196" s="0" t="n">
        <v>46</v>
      </c>
      <c r="G1196" s="0" t="n">
        <v>16</v>
      </c>
      <c r="H1196" s="0" t="str">
        <f aca="false">IF(F1196&lt;G1196,"SI","NO")</f>
        <v>NO</v>
      </c>
    </row>
    <row r="1197" customFormat="false" ht="15" hidden="false" customHeight="false" outlineLevel="0" collapsed="false">
      <c r="A1197" s="0" t="s">
        <v>3037</v>
      </c>
      <c r="B1197" s="0" t="s">
        <v>3038</v>
      </c>
      <c r="C1197" s="0" t="s">
        <v>418</v>
      </c>
      <c r="D1197" s="2" t="s">
        <v>11</v>
      </c>
      <c r="E1197" s="0" t="str">
        <f aca="false">VLOOKUP(D1197,Fornitori!$A$2:$C$6,2,FALSE())</f>
        <v>Meccanica Bassi S.r.l.</v>
      </c>
      <c r="F1197" s="0" t="n">
        <v>5</v>
      </c>
      <c r="G1197" s="0" t="n">
        <v>5</v>
      </c>
      <c r="H1197" s="0" t="str">
        <f aca="false">IF(F1197&lt;G1197,"SI","NO")</f>
        <v>NO</v>
      </c>
    </row>
    <row r="1198" customFormat="false" ht="15" hidden="false" customHeight="false" outlineLevel="0" collapsed="false">
      <c r="A1198" s="0" t="s">
        <v>3039</v>
      </c>
      <c r="B1198" s="0" t="s">
        <v>3040</v>
      </c>
      <c r="C1198" s="0" t="s">
        <v>383</v>
      </c>
      <c r="D1198" s="2" t="s">
        <v>15</v>
      </c>
      <c r="E1198" s="0" t="str">
        <f aca="false">VLOOKUP(D1198,Fornitori!$A$2:$C$6,2,FALSE())</f>
        <v>Rulmeca Italia</v>
      </c>
      <c r="F1198" s="0" t="n">
        <v>41</v>
      </c>
      <c r="G1198" s="0" t="n">
        <v>15</v>
      </c>
      <c r="H1198" s="0" t="str">
        <f aca="false">IF(F1198&lt;G1198,"SI","NO")</f>
        <v>NO</v>
      </c>
    </row>
    <row r="1199" customFormat="false" ht="15" hidden="false" customHeight="false" outlineLevel="0" collapsed="false">
      <c r="A1199" s="0" t="s">
        <v>3041</v>
      </c>
      <c r="B1199" s="0" t="s">
        <v>3042</v>
      </c>
      <c r="C1199" s="0" t="s">
        <v>871</v>
      </c>
      <c r="D1199" s="2" t="s">
        <v>19</v>
      </c>
      <c r="E1199" s="0" t="str">
        <f aca="false">VLOOKUP(D1199,Fornitori!$A$2:$C$6,2,FALSE())</f>
        <v>Elettrotecnica Ferri</v>
      </c>
      <c r="F1199" s="0" t="n">
        <v>38</v>
      </c>
      <c r="G1199" s="0" t="n">
        <v>11</v>
      </c>
      <c r="H1199" s="0" t="str">
        <f aca="false">IF(F1199&lt;G1199,"SI","NO")</f>
        <v>NO</v>
      </c>
    </row>
    <row r="1200" customFormat="false" ht="15" hidden="false" customHeight="false" outlineLevel="0" collapsed="false">
      <c r="A1200" s="0" t="s">
        <v>3043</v>
      </c>
      <c r="B1200" s="0" t="s">
        <v>3044</v>
      </c>
      <c r="C1200" s="0" t="s">
        <v>452</v>
      </c>
      <c r="D1200" s="2" t="s">
        <v>23</v>
      </c>
      <c r="E1200" s="0" t="str">
        <f aca="false">VLOOKUP(D1200,Fornitori!$A$2:$C$6,2,FALSE())</f>
        <v>Pneumax Service</v>
      </c>
      <c r="F1200" s="0" t="n">
        <v>30</v>
      </c>
      <c r="G1200" s="0" t="n">
        <v>5</v>
      </c>
      <c r="H1200" s="0" t="str">
        <f aca="false">IF(F1200&lt;G1200,"SI","NO")</f>
        <v>NO</v>
      </c>
    </row>
    <row r="1201" customFormat="false" ht="15" hidden="false" customHeight="false" outlineLevel="0" collapsed="false">
      <c r="A1201" s="0" t="s">
        <v>3045</v>
      </c>
      <c r="B1201" s="0" t="s">
        <v>3046</v>
      </c>
      <c r="C1201" s="0" t="s">
        <v>3047</v>
      </c>
      <c r="D1201" s="2" t="s">
        <v>27</v>
      </c>
      <c r="E1201" s="0" t="str">
        <f aca="false">VLOOKUP(D1201,Fornitori!$A$2:$C$6,2,FALSE())</f>
        <v>Guarnizioni Alpi</v>
      </c>
      <c r="F1201" s="0" t="n">
        <v>28</v>
      </c>
      <c r="G1201" s="0" t="n">
        <v>24</v>
      </c>
      <c r="H1201" s="0" t="str">
        <f aca="false">IF(F1201&lt;G1201,"SI","NO")</f>
        <v>NO</v>
      </c>
    </row>
    <row r="1202" customFormat="false" ht="15" hidden="false" customHeight="false" outlineLevel="0" collapsed="false">
      <c r="A1202" s="0" t="s">
        <v>3048</v>
      </c>
      <c r="B1202" s="0" t="s">
        <v>3049</v>
      </c>
      <c r="C1202" s="0" t="s">
        <v>427</v>
      </c>
      <c r="D1202" s="2" t="s">
        <v>11</v>
      </c>
      <c r="E1202" s="0" t="str">
        <f aca="false">VLOOKUP(D1202,Fornitori!$A$2:$C$6,2,FALSE())</f>
        <v>Meccanica Bassi S.r.l.</v>
      </c>
      <c r="F1202" s="0" t="n">
        <v>46</v>
      </c>
      <c r="G1202" s="0" t="n">
        <v>11</v>
      </c>
      <c r="H1202" s="0" t="str">
        <f aca="false">IF(F1202&lt;G1202,"SI","NO")</f>
        <v>NO</v>
      </c>
    </row>
    <row r="1203" customFormat="false" ht="15" hidden="false" customHeight="false" outlineLevel="0" collapsed="false">
      <c r="A1203" s="0" t="s">
        <v>3050</v>
      </c>
      <c r="B1203" s="0" t="s">
        <v>3051</v>
      </c>
      <c r="C1203" s="0" t="s">
        <v>1540</v>
      </c>
      <c r="D1203" s="2" t="s">
        <v>15</v>
      </c>
      <c r="E1203" s="0" t="str">
        <f aca="false">VLOOKUP(D1203,Fornitori!$A$2:$C$6,2,FALSE())</f>
        <v>Rulmeca Italia</v>
      </c>
      <c r="F1203" s="0" t="n">
        <v>18</v>
      </c>
      <c r="G1203" s="0" t="n">
        <v>16</v>
      </c>
      <c r="H1203" s="0" t="str">
        <f aca="false">IF(F1203&lt;G1203,"SI","NO")</f>
        <v>NO</v>
      </c>
    </row>
    <row r="1204" customFormat="false" ht="15" hidden="false" customHeight="false" outlineLevel="0" collapsed="false">
      <c r="A1204" s="0" t="s">
        <v>3052</v>
      </c>
      <c r="B1204" s="0" t="s">
        <v>3053</v>
      </c>
      <c r="C1204" s="0" t="s">
        <v>2146</v>
      </c>
      <c r="D1204" s="2" t="s">
        <v>19</v>
      </c>
      <c r="E1204" s="0" t="str">
        <f aca="false">VLOOKUP(D1204,Fornitori!$A$2:$C$6,2,FALSE())</f>
        <v>Elettrotecnica Ferri</v>
      </c>
      <c r="F1204" s="0" t="n">
        <v>46</v>
      </c>
      <c r="G1204" s="0" t="n">
        <v>14</v>
      </c>
      <c r="H1204" s="0" t="str">
        <f aca="false">IF(F1204&lt;G1204,"SI","NO")</f>
        <v>NO</v>
      </c>
    </row>
    <row r="1205" customFormat="false" ht="15" hidden="false" customHeight="false" outlineLevel="0" collapsed="false">
      <c r="A1205" s="0" t="s">
        <v>3054</v>
      </c>
      <c r="B1205" s="0" t="s">
        <v>883</v>
      </c>
      <c r="C1205" s="0" t="s">
        <v>3055</v>
      </c>
      <c r="D1205" s="2" t="s">
        <v>23</v>
      </c>
      <c r="E1205" s="0" t="str">
        <f aca="false">VLOOKUP(D1205,Fornitori!$A$2:$C$6,2,FALSE())</f>
        <v>Pneumax Service</v>
      </c>
      <c r="F1205" s="0" t="n">
        <v>16</v>
      </c>
      <c r="G1205" s="0" t="n">
        <v>21</v>
      </c>
      <c r="H1205" s="0" t="str">
        <f aca="false">IF(F1205&lt;G1205,"SI","NO")</f>
        <v>SI</v>
      </c>
    </row>
    <row r="1206" customFormat="false" ht="15" hidden="false" customHeight="false" outlineLevel="0" collapsed="false">
      <c r="A1206" s="0" t="s">
        <v>3056</v>
      </c>
      <c r="B1206" s="0" t="s">
        <v>3057</v>
      </c>
      <c r="C1206" s="0" t="s">
        <v>3058</v>
      </c>
      <c r="D1206" s="2" t="s">
        <v>27</v>
      </c>
      <c r="E1206" s="0" t="str">
        <f aca="false">VLOOKUP(D1206,Fornitori!$A$2:$C$6,2,FALSE())</f>
        <v>Guarnizioni Alpi</v>
      </c>
      <c r="F1206" s="0" t="n">
        <v>47</v>
      </c>
      <c r="G1206" s="0" t="n">
        <v>22</v>
      </c>
      <c r="H1206" s="0" t="str">
        <f aca="false">IF(F1206&lt;G1206,"SI","NO")</f>
        <v>NO</v>
      </c>
    </row>
    <row r="1207" customFormat="false" ht="15" hidden="false" customHeight="false" outlineLevel="0" collapsed="false">
      <c r="A1207" s="0" t="s">
        <v>3059</v>
      </c>
      <c r="B1207" s="0" t="s">
        <v>3060</v>
      </c>
      <c r="C1207" s="0" t="s">
        <v>2930</v>
      </c>
      <c r="D1207" s="2" t="s">
        <v>11</v>
      </c>
      <c r="E1207" s="0" t="str">
        <f aca="false">VLOOKUP(D1207,Fornitori!$A$2:$C$6,2,FALSE())</f>
        <v>Meccanica Bassi S.r.l.</v>
      </c>
      <c r="F1207" s="0" t="n">
        <v>14</v>
      </c>
      <c r="G1207" s="0" t="n">
        <v>15</v>
      </c>
      <c r="H1207" s="0" t="str">
        <f aca="false">IF(F1207&lt;G1207,"SI","NO")</f>
        <v>SI</v>
      </c>
    </row>
    <row r="1208" customFormat="false" ht="15" hidden="false" customHeight="false" outlineLevel="0" collapsed="false">
      <c r="A1208" s="0" t="s">
        <v>3061</v>
      </c>
      <c r="B1208" s="0" t="s">
        <v>151</v>
      </c>
      <c r="C1208" s="0" t="s">
        <v>2938</v>
      </c>
      <c r="D1208" s="2" t="s">
        <v>15</v>
      </c>
      <c r="E1208" s="0" t="str">
        <f aca="false">VLOOKUP(D1208,Fornitori!$A$2:$C$6,2,FALSE())</f>
        <v>Rulmeca Italia</v>
      </c>
      <c r="F1208" s="0" t="n">
        <v>46</v>
      </c>
      <c r="G1208" s="0" t="n">
        <v>14</v>
      </c>
      <c r="H1208" s="0" t="str">
        <f aca="false">IF(F1208&lt;G1208,"SI","NO")</f>
        <v>NO</v>
      </c>
    </row>
    <row r="1209" customFormat="false" ht="15" hidden="false" customHeight="false" outlineLevel="0" collapsed="false">
      <c r="A1209" s="0" t="s">
        <v>3062</v>
      </c>
      <c r="B1209" s="0" t="s">
        <v>1325</v>
      </c>
      <c r="C1209" s="0" t="s">
        <v>3063</v>
      </c>
      <c r="D1209" s="2" t="s">
        <v>19</v>
      </c>
      <c r="E1209" s="0" t="str">
        <f aca="false">VLOOKUP(D1209,Fornitori!$A$2:$C$6,2,FALSE())</f>
        <v>Elettrotecnica Ferri</v>
      </c>
      <c r="F1209" s="0" t="n">
        <v>23</v>
      </c>
      <c r="G1209" s="0" t="n">
        <v>8</v>
      </c>
      <c r="H1209" s="0" t="str">
        <f aca="false">IF(F1209&lt;G1209,"SI","NO")</f>
        <v>NO</v>
      </c>
    </row>
    <row r="1210" customFormat="false" ht="15" hidden="false" customHeight="false" outlineLevel="0" collapsed="false">
      <c r="A1210" s="0" t="s">
        <v>3064</v>
      </c>
      <c r="B1210" s="0" t="s">
        <v>1787</v>
      </c>
      <c r="C1210" s="0" t="s">
        <v>1097</v>
      </c>
      <c r="D1210" s="2" t="s">
        <v>23</v>
      </c>
      <c r="E1210" s="0" t="str">
        <f aca="false">VLOOKUP(D1210,Fornitori!$A$2:$C$6,2,FALSE())</f>
        <v>Pneumax Service</v>
      </c>
      <c r="F1210" s="0" t="n">
        <v>27</v>
      </c>
      <c r="G1210" s="0" t="n">
        <v>13</v>
      </c>
      <c r="H1210" s="0" t="str">
        <f aca="false">IF(F1210&lt;G1210,"SI","NO")</f>
        <v>NO</v>
      </c>
    </row>
    <row r="1211" customFormat="false" ht="15" hidden="false" customHeight="false" outlineLevel="0" collapsed="false">
      <c r="A1211" s="0" t="s">
        <v>3065</v>
      </c>
      <c r="B1211" s="0" t="s">
        <v>3066</v>
      </c>
      <c r="C1211" s="0" t="s">
        <v>380</v>
      </c>
      <c r="D1211" s="2" t="s">
        <v>27</v>
      </c>
      <c r="E1211" s="0" t="str">
        <f aca="false">VLOOKUP(D1211,Fornitori!$A$2:$C$6,2,FALSE())</f>
        <v>Guarnizioni Alpi</v>
      </c>
      <c r="F1211" s="0" t="n">
        <v>23</v>
      </c>
      <c r="G1211" s="0" t="n">
        <v>21</v>
      </c>
      <c r="H1211" s="0" t="str">
        <f aca="false">IF(F1211&lt;G1211,"SI","NO")</f>
        <v>NO</v>
      </c>
    </row>
    <row r="1212" customFormat="false" ht="15" hidden="false" customHeight="false" outlineLevel="0" collapsed="false">
      <c r="A1212" s="0" t="s">
        <v>3067</v>
      </c>
      <c r="B1212" s="0" t="s">
        <v>3068</v>
      </c>
      <c r="C1212" s="0" t="s">
        <v>3069</v>
      </c>
      <c r="D1212" s="2" t="s">
        <v>11</v>
      </c>
      <c r="E1212" s="0" t="str">
        <f aca="false">VLOOKUP(D1212,Fornitori!$A$2:$C$6,2,FALSE())</f>
        <v>Meccanica Bassi S.r.l.</v>
      </c>
      <c r="F1212" s="0" t="n">
        <v>16</v>
      </c>
      <c r="G1212" s="0" t="n">
        <v>22</v>
      </c>
      <c r="H1212" s="0" t="str">
        <f aca="false">IF(F1212&lt;G1212,"SI","NO")</f>
        <v>SI</v>
      </c>
    </row>
    <row r="1213" customFormat="false" ht="15" hidden="false" customHeight="false" outlineLevel="0" collapsed="false">
      <c r="A1213" s="0" t="s">
        <v>3070</v>
      </c>
      <c r="B1213" s="0" t="s">
        <v>3071</v>
      </c>
      <c r="C1213" s="0" t="s">
        <v>1763</v>
      </c>
      <c r="D1213" s="2" t="s">
        <v>15</v>
      </c>
      <c r="E1213" s="0" t="str">
        <f aca="false">VLOOKUP(D1213,Fornitori!$A$2:$C$6,2,FALSE())</f>
        <v>Rulmeca Italia</v>
      </c>
      <c r="F1213" s="0" t="n">
        <v>15</v>
      </c>
      <c r="G1213" s="0" t="n">
        <v>13</v>
      </c>
      <c r="H1213" s="0" t="str">
        <f aca="false">IF(F1213&lt;G1213,"SI","NO")</f>
        <v>NO</v>
      </c>
    </row>
    <row r="1214" customFormat="false" ht="15" hidden="false" customHeight="false" outlineLevel="0" collapsed="false">
      <c r="A1214" s="0" t="s">
        <v>3072</v>
      </c>
      <c r="B1214" s="0" t="s">
        <v>1419</v>
      </c>
      <c r="C1214" s="0" t="s">
        <v>1693</v>
      </c>
      <c r="D1214" s="2" t="s">
        <v>19</v>
      </c>
      <c r="E1214" s="0" t="str">
        <f aca="false">VLOOKUP(D1214,Fornitori!$A$2:$C$6,2,FALSE())</f>
        <v>Elettrotecnica Ferri</v>
      </c>
      <c r="F1214" s="0" t="n">
        <v>12</v>
      </c>
      <c r="G1214" s="0" t="n">
        <v>21</v>
      </c>
      <c r="H1214" s="0" t="str">
        <f aca="false">IF(F1214&lt;G1214,"SI","NO")</f>
        <v>SI</v>
      </c>
    </row>
    <row r="1215" customFormat="false" ht="15" hidden="false" customHeight="false" outlineLevel="0" collapsed="false">
      <c r="A1215" s="0" t="s">
        <v>3073</v>
      </c>
      <c r="B1215" s="0" t="s">
        <v>142</v>
      </c>
      <c r="C1215" s="0" t="s">
        <v>960</v>
      </c>
      <c r="D1215" s="2" t="s">
        <v>23</v>
      </c>
      <c r="E1215" s="0" t="str">
        <f aca="false">VLOOKUP(D1215,Fornitori!$A$2:$C$6,2,FALSE())</f>
        <v>Pneumax Service</v>
      </c>
      <c r="F1215" s="0" t="n">
        <v>31</v>
      </c>
      <c r="G1215" s="0" t="n">
        <v>16</v>
      </c>
      <c r="H1215" s="0" t="str">
        <f aca="false">IF(F1215&lt;G1215,"SI","NO")</f>
        <v>NO</v>
      </c>
    </row>
    <row r="1216" customFormat="false" ht="15" hidden="false" customHeight="false" outlineLevel="0" collapsed="false">
      <c r="A1216" s="0" t="s">
        <v>3074</v>
      </c>
      <c r="B1216" s="0" t="s">
        <v>3075</v>
      </c>
      <c r="C1216" s="0" t="s">
        <v>406</v>
      </c>
      <c r="D1216" s="2" t="s">
        <v>27</v>
      </c>
      <c r="E1216" s="0" t="str">
        <f aca="false">VLOOKUP(D1216,Fornitori!$A$2:$C$6,2,FALSE())</f>
        <v>Guarnizioni Alpi</v>
      </c>
      <c r="F1216" s="0" t="n">
        <v>30</v>
      </c>
      <c r="G1216" s="0" t="n">
        <v>11</v>
      </c>
      <c r="H1216" s="0" t="str">
        <f aca="false">IF(F1216&lt;G1216,"SI","NO")</f>
        <v>NO</v>
      </c>
    </row>
    <row r="1217" customFormat="false" ht="15" hidden="false" customHeight="false" outlineLevel="0" collapsed="false">
      <c r="A1217" s="0" t="s">
        <v>3076</v>
      </c>
      <c r="B1217" s="0" t="s">
        <v>1237</v>
      </c>
      <c r="C1217" s="0" t="s">
        <v>3077</v>
      </c>
      <c r="D1217" s="2" t="s">
        <v>11</v>
      </c>
      <c r="E1217" s="0" t="str">
        <f aca="false">VLOOKUP(D1217,Fornitori!$A$2:$C$6,2,FALSE())</f>
        <v>Meccanica Bassi S.r.l.</v>
      </c>
      <c r="F1217" s="0" t="n">
        <v>22</v>
      </c>
      <c r="G1217" s="0" t="n">
        <v>8</v>
      </c>
      <c r="H1217" s="0" t="str">
        <f aca="false">IF(F1217&lt;G1217,"SI","NO")</f>
        <v>NO</v>
      </c>
    </row>
    <row r="1218" customFormat="false" ht="15" hidden="false" customHeight="false" outlineLevel="0" collapsed="false">
      <c r="A1218" s="0" t="s">
        <v>3078</v>
      </c>
      <c r="B1218" s="0" t="s">
        <v>3079</v>
      </c>
      <c r="C1218" s="0" t="s">
        <v>770</v>
      </c>
      <c r="D1218" s="2" t="s">
        <v>15</v>
      </c>
      <c r="E1218" s="0" t="str">
        <f aca="false">VLOOKUP(D1218,Fornitori!$A$2:$C$6,2,FALSE())</f>
        <v>Rulmeca Italia</v>
      </c>
      <c r="F1218" s="0" t="n">
        <v>33</v>
      </c>
      <c r="G1218" s="0" t="n">
        <v>24</v>
      </c>
      <c r="H1218" s="0" t="str">
        <f aca="false">IF(F1218&lt;G1218,"SI","NO")</f>
        <v>NO</v>
      </c>
    </row>
    <row r="1219" customFormat="false" ht="15" hidden="false" customHeight="false" outlineLevel="0" collapsed="false">
      <c r="A1219" s="0" t="s">
        <v>3080</v>
      </c>
      <c r="B1219" s="0" t="s">
        <v>3081</v>
      </c>
      <c r="C1219" s="0" t="s">
        <v>438</v>
      </c>
      <c r="D1219" s="2" t="s">
        <v>19</v>
      </c>
      <c r="E1219" s="0" t="str">
        <f aca="false">VLOOKUP(D1219,Fornitori!$A$2:$C$6,2,FALSE())</f>
        <v>Elettrotecnica Ferri</v>
      </c>
      <c r="F1219" s="0" t="n">
        <v>37</v>
      </c>
      <c r="G1219" s="0" t="n">
        <v>15</v>
      </c>
      <c r="H1219" s="0" t="str">
        <f aca="false">IF(F1219&lt;G1219,"SI","NO")</f>
        <v>NO</v>
      </c>
    </row>
    <row r="1220" customFormat="false" ht="15" hidden="false" customHeight="false" outlineLevel="0" collapsed="false">
      <c r="A1220" s="0" t="s">
        <v>3082</v>
      </c>
      <c r="B1220" s="0" t="s">
        <v>3083</v>
      </c>
      <c r="C1220" s="0" t="s">
        <v>3084</v>
      </c>
      <c r="D1220" s="2" t="s">
        <v>23</v>
      </c>
      <c r="E1220" s="0" t="str">
        <f aca="false">VLOOKUP(D1220,Fornitori!$A$2:$C$6,2,FALSE())</f>
        <v>Pneumax Service</v>
      </c>
      <c r="F1220" s="0" t="n">
        <v>25</v>
      </c>
      <c r="G1220" s="0" t="n">
        <v>11</v>
      </c>
      <c r="H1220" s="0" t="str">
        <f aca="false">IF(F1220&lt;G1220,"SI","NO")</f>
        <v>NO</v>
      </c>
    </row>
    <row r="1221" customFormat="false" ht="15" hidden="false" customHeight="false" outlineLevel="0" collapsed="false">
      <c r="A1221" s="0" t="s">
        <v>3085</v>
      </c>
      <c r="B1221" s="0" t="s">
        <v>3086</v>
      </c>
      <c r="C1221" s="0" t="s">
        <v>3087</v>
      </c>
      <c r="D1221" s="2" t="s">
        <v>27</v>
      </c>
      <c r="E1221" s="0" t="str">
        <f aca="false">VLOOKUP(D1221,Fornitori!$A$2:$C$6,2,FALSE())</f>
        <v>Guarnizioni Alpi</v>
      </c>
      <c r="F1221" s="0" t="n">
        <v>12</v>
      </c>
      <c r="G1221" s="0" t="n">
        <v>22</v>
      </c>
      <c r="H1221" s="0" t="str">
        <f aca="false">IF(F1221&lt;G1221,"SI","NO")</f>
        <v>SI</v>
      </c>
    </row>
    <row r="1222" customFormat="false" ht="15" hidden="false" customHeight="false" outlineLevel="0" collapsed="false">
      <c r="A1222" s="0" t="s">
        <v>3088</v>
      </c>
      <c r="B1222" s="0" t="s">
        <v>3089</v>
      </c>
      <c r="C1222" s="0" t="s">
        <v>3090</v>
      </c>
      <c r="D1222" s="2" t="s">
        <v>11</v>
      </c>
      <c r="E1222" s="0" t="str">
        <f aca="false">VLOOKUP(D1222,Fornitori!$A$2:$C$6,2,FALSE())</f>
        <v>Meccanica Bassi S.r.l.</v>
      </c>
      <c r="F1222" s="0" t="n">
        <v>38</v>
      </c>
      <c r="G1222" s="0" t="n">
        <v>8</v>
      </c>
      <c r="H1222" s="0" t="str">
        <f aca="false">IF(F1222&lt;G1222,"SI","NO")</f>
        <v>NO</v>
      </c>
    </row>
    <row r="1223" customFormat="false" ht="15" hidden="false" customHeight="false" outlineLevel="0" collapsed="false">
      <c r="A1223" s="0" t="s">
        <v>3091</v>
      </c>
      <c r="B1223" s="0" t="s">
        <v>3092</v>
      </c>
      <c r="C1223" s="0" t="s">
        <v>3093</v>
      </c>
      <c r="D1223" s="2" t="s">
        <v>15</v>
      </c>
      <c r="E1223" s="0" t="str">
        <f aca="false">VLOOKUP(D1223,Fornitori!$A$2:$C$6,2,FALSE())</f>
        <v>Rulmeca Italia</v>
      </c>
      <c r="F1223" s="0" t="n">
        <v>35</v>
      </c>
      <c r="G1223" s="0" t="n">
        <v>15</v>
      </c>
      <c r="H1223" s="0" t="str">
        <f aca="false">IF(F1223&lt;G1223,"SI","NO")</f>
        <v>NO</v>
      </c>
    </row>
    <row r="1224" customFormat="false" ht="15" hidden="false" customHeight="false" outlineLevel="0" collapsed="false">
      <c r="A1224" s="0" t="s">
        <v>3094</v>
      </c>
      <c r="B1224" s="0" t="s">
        <v>3095</v>
      </c>
      <c r="C1224" s="0" t="s">
        <v>1715</v>
      </c>
      <c r="D1224" s="2" t="s">
        <v>19</v>
      </c>
      <c r="E1224" s="0" t="str">
        <f aca="false">VLOOKUP(D1224,Fornitori!$A$2:$C$6,2,FALSE())</f>
        <v>Elettrotecnica Ferri</v>
      </c>
      <c r="F1224" s="0" t="n">
        <v>48</v>
      </c>
      <c r="G1224" s="0" t="n">
        <v>22</v>
      </c>
      <c r="H1224" s="0" t="str">
        <f aca="false">IF(F1224&lt;G1224,"SI","NO")</f>
        <v>NO</v>
      </c>
    </row>
    <row r="1225" customFormat="false" ht="15" hidden="false" customHeight="false" outlineLevel="0" collapsed="false">
      <c r="A1225" s="0" t="s">
        <v>3096</v>
      </c>
      <c r="B1225" s="0" t="s">
        <v>3097</v>
      </c>
      <c r="C1225" s="0" t="s">
        <v>3098</v>
      </c>
      <c r="D1225" s="2" t="s">
        <v>23</v>
      </c>
      <c r="E1225" s="0" t="str">
        <f aca="false">VLOOKUP(D1225,Fornitori!$A$2:$C$6,2,FALSE())</f>
        <v>Pneumax Service</v>
      </c>
      <c r="F1225" s="0" t="n">
        <v>17</v>
      </c>
      <c r="G1225" s="0" t="n">
        <v>15</v>
      </c>
      <c r="H1225" s="0" t="str">
        <f aca="false">IF(F1225&lt;G1225,"SI","NO")</f>
        <v>NO</v>
      </c>
    </row>
    <row r="1226" customFormat="false" ht="15" hidden="false" customHeight="false" outlineLevel="0" collapsed="false">
      <c r="A1226" s="0" t="s">
        <v>3099</v>
      </c>
      <c r="B1226" s="0" t="s">
        <v>3100</v>
      </c>
      <c r="C1226" s="0" t="s">
        <v>3101</v>
      </c>
      <c r="D1226" s="2" t="s">
        <v>27</v>
      </c>
      <c r="E1226" s="0" t="str">
        <f aca="false">VLOOKUP(D1226,Fornitori!$A$2:$C$6,2,FALSE())</f>
        <v>Guarnizioni Alpi</v>
      </c>
      <c r="F1226" s="0" t="n">
        <v>11</v>
      </c>
      <c r="G1226" s="0" t="n">
        <v>7</v>
      </c>
      <c r="H1226" s="0" t="str">
        <f aca="false">IF(F1226&lt;G1226,"SI","NO")</f>
        <v>NO</v>
      </c>
    </row>
    <row r="1227" customFormat="false" ht="15" hidden="false" customHeight="false" outlineLevel="0" collapsed="false">
      <c r="A1227" s="0" t="s">
        <v>3102</v>
      </c>
      <c r="B1227" s="0" t="s">
        <v>3103</v>
      </c>
      <c r="C1227" s="0" t="s">
        <v>3104</v>
      </c>
      <c r="D1227" s="2" t="s">
        <v>11</v>
      </c>
      <c r="E1227" s="0" t="str">
        <f aca="false">VLOOKUP(D1227,Fornitori!$A$2:$C$6,2,FALSE())</f>
        <v>Meccanica Bassi S.r.l.</v>
      </c>
      <c r="F1227" s="0" t="n">
        <v>4</v>
      </c>
      <c r="G1227" s="0" t="n">
        <v>7</v>
      </c>
      <c r="H1227" s="0" t="str">
        <f aca="false">IF(F1227&lt;G1227,"SI","NO")</f>
        <v>SI</v>
      </c>
    </row>
    <row r="1228" customFormat="false" ht="15" hidden="false" customHeight="false" outlineLevel="0" collapsed="false">
      <c r="A1228" s="0" t="s">
        <v>3105</v>
      </c>
      <c r="B1228" s="0" t="s">
        <v>3106</v>
      </c>
      <c r="C1228" s="0" t="s">
        <v>227</v>
      </c>
      <c r="D1228" s="2" t="s">
        <v>15</v>
      </c>
      <c r="E1228" s="0" t="str">
        <f aca="false">VLOOKUP(D1228,Fornitori!$A$2:$C$6,2,FALSE())</f>
        <v>Rulmeca Italia</v>
      </c>
      <c r="F1228" s="0" t="n">
        <v>59</v>
      </c>
      <c r="G1228" s="0" t="n">
        <v>20</v>
      </c>
      <c r="H1228" s="0" t="str">
        <f aca="false">IF(F1228&lt;G1228,"SI","NO")</f>
        <v>NO</v>
      </c>
    </row>
    <row r="1229" customFormat="false" ht="15" hidden="false" customHeight="false" outlineLevel="0" collapsed="false">
      <c r="A1229" s="0" t="s">
        <v>3107</v>
      </c>
      <c r="B1229" s="0" t="s">
        <v>3108</v>
      </c>
      <c r="C1229" s="0" t="s">
        <v>2938</v>
      </c>
      <c r="D1229" s="2" t="s">
        <v>19</v>
      </c>
      <c r="E1229" s="0" t="str">
        <f aca="false">VLOOKUP(D1229,Fornitori!$A$2:$C$6,2,FALSE())</f>
        <v>Elettrotecnica Ferri</v>
      </c>
      <c r="F1229" s="0" t="n">
        <v>26</v>
      </c>
      <c r="G1229" s="0" t="n">
        <v>23</v>
      </c>
      <c r="H1229" s="0" t="str">
        <f aca="false">IF(F1229&lt;G1229,"SI","NO")</f>
        <v>NO</v>
      </c>
    </row>
    <row r="1230" customFormat="false" ht="15" hidden="false" customHeight="false" outlineLevel="0" collapsed="false">
      <c r="A1230" s="0" t="s">
        <v>3109</v>
      </c>
      <c r="B1230" s="0" t="s">
        <v>3110</v>
      </c>
      <c r="C1230" s="0" t="s">
        <v>1434</v>
      </c>
      <c r="D1230" s="2" t="s">
        <v>23</v>
      </c>
      <c r="E1230" s="0" t="str">
        <f aca="false">VLOOKUP(D1230,Fornitori!$A$2:$C$6,2,FALSE())</f>
        <v>Pneumax Service</v>
      </c>
      <c r="F1230" s="0" t="n">
        <v>29</v>
      </c>
      <c r="G1230" s="0" t="n">
        <v>11</v>
      </c>
      <c r="H1230" s="0" t="str">
        <f aca="false">IF(F1230&lt;G1230,"SI","NO")</f>
        <v>NO</v>
      </c>
    </row>
    <row r="1231" customFormat="false" ht="15" hidden="false" customHeight="false" outlineLevel="0" collapsed="false">
      <c r="A1231" s="0" t="s">
        <v>3111</v>
      </c>
      <c r="B1231" s="0" t="s">
        <v>365</v>
      </c>
      <c r="C1231" s="0" t="s">
        <v>3112</v>
      </c>
      <c r="D1231" s="2" t="s">
        <v>27</v>
      </c>
      <c r="E1231" s="0" t="str">
        <f aca="false">VLOOKUP(D1231,Fornitori!$A$2:$C$6,2,FALSE())</f>
        <v>Guarnizioni Alpi</v>
      </c>
      <c r="F1231" s="0" t="n">
        <v>40</v>
      </c>
      <c r="G1231" s="0" t="n">
        <v>23</v>
      </c>
      <c r="H1231" s="0" t="str">
        <f aca="false">IF(F1231&lt;G1231,"SI","NO")</f>
        <v>NO</v>
      </c>
    </row>
    <row r="1232" customFormat="false" ht="15" hidden="false" customHeight="false" outlineLevel="0" collapsed="false">
      <c r="A1232" s="0" t="s">
        <v>3113</v>
      </c>
      <c r="B1232" s="0" t="s">
        <v>3114</v>
      </c>
      <c r="C1232" s="0" t="s">
        <v>1448</v>
      </c>
      <c r="D1232" s="2" t="s">
        <v>11</v>
      </c>
      <c r="E1232" s="0" t="str">
        <f aca="false">VLOOKUP(D1232,Fornitori!$A$2:$C$6,2,FALSE())</f>
        <v>Meccanica Bassi S.r.l.</v>
      </c>
      <c r="F1232" s="0" t="n">
        <v>57</v>
      </c>
      <c r="G1232" s="0" t="n">
        <v>5</v>
      </c>
      <c r="H1232" s="0" t="str">
        <f aca="false">IF(F1232&lt;G1232,"SI","NO")</f>
        <v>NO</v>
      </c>
    </row>
    <row r="1233" customFormat="false" ht="15" hidden="false" customHeight="false" outlineLevel="0" collapsed="false">
      <c r="A1233" s="0" t="s">
        <v>3115</v>
      </c>
      <c r="B1233" s="0" t="s">
        <v>429</v>
      </c>
      <c r="C1233" s="0" t="s">
        <v>2869</v>
      </c>
      <c r="D1233" s="2" t="s">
        <v>15</v>
      </c>
      <c r="E1233" s="0" t="str">
        <f aca="false">VLOOKUP(D1233,Fornitori!$A$2:$C$6,2,FALSE())</f>
        <v>Rulmeca Italia</v>
      </c>
      <c r="F1233" s="0" t="n">
        <v>31</v>
      </c>
      <c r="G1233" s="0" t="n">
        <v>23</v>
      </c>
      <c r="H1233" s="0" t="str">
        <f aca="false">IF(F1233&lt;G1233,"SI","NO")</f>
        <v>NO</v>
      </c>
    </row>
    <row r="1234" customFormat="false" ht="15" hidden="false" customHeight="false" outlineLevel="0" collapsed="false">
      <c r="A1234" s="0" t="s">
        <v>3116</v>
      </c>
      <c r="B1234" s="0" t="s">
        <v>3117</v>
      </c>
      <c r="C1234" s="0" t="s">
        <v>3118</v>
      </c>
      <c r="D1234" s="2" t="s">
        <v>19</v>
      </c>
      <c r="E1234" s="0" t="str">
        <f aca="false">VLOOKUP(D1234,Fornitori!$A$2:$C$6,2,FALSE())</f>
        <v>Elettrotecnica Ferri</v>
      </c>
      <c r="F1234" s="0" t="n">
        <v>31</v>
      </c>
      <c r="G1234" s="0" t="n">
        <v>10</v>
      </c>
      <c r="H1234" s="0" t="str">
        <f aca="false">IF(F1234&lt;G1234,"SI","NO")</f>
        <v>NO</v>
      </c>
    </row>
    <row r="1235" customFormat="false" ht="15" hidden="false" customHeight="false" outlineLevel="0" collapsed="false">
      <c r="A1235" s="0" t="s">
        <v>3119</v>
      </c>
      <c r="B1235" s="0" t="s">
        <v>3120</v>
      </c>
      <c r="C1235" s="0" t="s">
        <v>2730</v>
      </c>
      <c r="D1235" s="2" t="s">
        <v>23</v>
      </c>
      <c r="E1235" s="0" t="str">
        <f aca="false">VLOOKUP(D1235,Fornitori!$A$2:$C$6,2,FALSE())</f>
        <v>Pneumax Service</v>
      </c>
      <c r="F1235" s="0" t="n">
        <v>56</v>
      </c>
      <c r="G1235" s="0" t="n">
        <v>18</v>
      </c>
      <c r="H1235" s="0" t="str">
        <f aca="false">IF(F1235&lt;G1235,"SI","NO")</f>
        <v>NO</v>
      </c>
    </row>
    <row r="1236" customFormat="false" ht="15" hidden="false" customHeight="false" outlineLevel="0" collapsed="false">
      <c r="A1236" s="0" t="s">
        <v>3121</v>
      </c>
      <c r="B1236" s="0" t="s">
        <v>3122</v>
      </c>
      <c r="C1236" s="0" t="s">
        <v>3123</v>
      </c>
      <c r="D1236" s="2" t="s">
        <v>27</v>
      </c>
      <c r="E1236" s="0" t="str">
        <f aca="false">VLOOKUP(D1236,Fornitori!$A$2:$C$6,2,FALSE())</f>
        <v>Guarnizioni Alpi</v>
      </c>
      <c r="F1236" s="0" t="n">
        <v>29</v>
      </c>
      <c r="G1236" s="0" t="n">
        <v>16</v>
      </c>
      <c r="H1236" s="0" t="str">
        <f aca="false">IF(F1236&lt;G1236,"SI","NO")</f>
        <v>NO</v>
      </c>
    </row>
    <row r="1237" customFormat="false" ht="15" hidden="false" customHeight="false" outlineLevel="0" collapsed="false">
      <c r="A1237" s="0" t="s">
        <v>3124</v>
      </c>
      <c r="B1237" s="0" t="s">
        <v>3125</v>
      </c>
      <c r="C1237" s="0" t="s">
        <v>1201</v>
      </c>
      <c r="D1237" s="2" t="s">
        <v>11</v>
      </c>
      <c r="E1237" s="0" t="str">
        <f aca="false">VLOOKUP(D1237,Fornitori!$A$2:$C$6,2,FALSE())</f>
        <v>Meccanica Bassi S.r.l.</v>
      </c>
      <c r="F1237" s="0" t="n">
        <v>8</v>
      </c>
      <c r="G1237" s="0" t="n">
        <v>5</v>
      </c>
      <c r="H1237" s="0" t="str">
        <f aca="false">IF(F1237&lt;G1237,"SI","NO")</f>
        <v>NO</v>
      </c>
    </row>
    <row r="1238" customFormat="false" ht="15" hidden="false" customHeight="false" outlineLevel="0" collapsed="false">
      <c r="A1238" s="0" t="s">
        <v>3126</v>
      </c>
      <c r="B1238" s="0" t="s">
        <v>3127</v>
      </c>
      <c r="C1238" s="0" t="s">
        <v>3128</v>
      </c>
      <c r="D1238" s="2" t="s">
        <v>15</v>
      </c>
      <c r="E1238" s="0" t="str">
        <f aca="false">VLOOKUP(D1238,Fornitori!$A$2:$C$6,2,FALSE())</f>
        <v>Rulmeca Italia</v>
      </c>
      <c r="F1238" s="0" t="n">
        <v>7</v>
      </c>
      <c r="G1238" s="0" t="n">
        <v>6</v>
      </c>
      <c r="H1238" s="0" t="str">
        <f aca="false">IF(F1238&lt;G1238,"SI","NO")</f>
        <v>NO</v>
      </c>
    </row>
    <row r="1239" customFormat="false" ht="15" hidden="false" customHeight="false" outlineLevel="0" collapsed="false">
      <c r="A1239" s="0" t="s">
        <v>3129</v>
      </c>
      <c r="B1239" s="0" t="s">
        <v>562</v>
      </c>
      <c r="C1239" s="0" t="s">
        <v>3022</v>
      </c>
      <c r="D1239" s="2" t="s">
        <v>19</v>
      </c>
      <c r="E1239" s="0" t="str">
        <f aca="false">VLOOKUP(D1239,Fornitori!$A$2:$C$6,2,FALSE())</f>
        <v>Elettrotecnica Ferri</v>
      </c>
      <c r="F1239" s="0" t="n">
        <v>30</v>
      </c>
      <c r="G1239" s="0" t="n">
        <v>11</v>
      </c>
      <c r="H1239" s="0" t="str">
        <f aca="false">IF(F1239&lt;G1239,"SI","NO")</f>
        <v>NO</v>
      </c>
    </row>
    <row r="1240" customFormat="false" ht="15" hidden="false" customHeight="false" outlineLevel="0" collapsed="false">
      <c r="A1240" s="0" t="s">
        <v>3130</v>
      </c>
      <c r="B1240" s="0" t="s">
        <v>3131</v>
      </c>
      <c r="C1240" s="0" t="s">
        <v>1928</v>
      </c>
      <c r="D1240" s="2" t="s">
        <v>23</v>
      </c>
      <c r="E1240" s="0" t="str">
        <f aca="false">VLOOKUP(D1240,Fornitori!$A$2:$C$6,2,FALSE())</f>
        <v>Pneumax Service</v>
      </c>
      <c r="F1240" s="0" t="n">
        <v>43</v>
      </c>
      <c r="G1240" s="0" t="n">
        <v>24</v>
      </c>
      <c r="H1240" s="0" t="str">
        <f aca="false">IF(F1240&lt;G1240,"SI","NO")</f>
        <v>NO</v>
      </c>
    </row>
    <row r="1241" customFormat="false" ht="15" hidden="false" customHeight="false" outlineLevel="0" collapsed="false">
      <c r="A1241" s="0" t="s">
        <v>3132</v>
      </c>
      <c r="B1241" s="0" t="s">
        <v>678</v>
      </c>
      <c r="C1241" s="0" t="s">
        <v>904</v>
      </c>
      <c r="D1241" s="2" t="s">
        <v>27</v>
      </c>
      <c r="E1241" s="0" t="str">
        <f aca="false">VLOOKUP(D1241,Fornitori!$A$2:$C$6,2,FALSE())</f>
        <v>Guarnizioni Alpi</v>
      </c>
      <c r="F1241" s="0" t="n">
        <v>35</v>
      </c>
      <c r="G1241" s="0" t="n">
        <v>11</v>
      </c>
      <c r="H1241" s="0" t="str">
        <f aca="false">IF(F1241&lt;G1241,"SI","NO")</f>
        <v>NO</v>
      </c>
    </row>
    <row r="1242" customFormat="false" ht="15" hidden="false" customHeight="false" outlineLevel="0" collapsed="false">
      <c r="A1242" s="0" t="s">
        <v>3133</v>
      </c>
      <c r="B1242" s="0" t="s">
        <v>3134</v>
      </c>
      <c r="C1242" s="0" t="s">
        <v>2496</v>
      </c>
      <c r="D1242" s="2" t="s">
        <v>11</v>
      </c>
      <c r="E1242" s="0" t="str">
        <f aca="false">VLOOKUP(D1242,Fornitori!$A$2:$C$6,2,FALSE())</f>
        <v>Meccanica Bassi S.r.l.</v>
      </c>
      <c r="F1242" s="0" t="n">
        <v>7</v>
      </c>
      <c r="G1242" s="0" t="n">
        <v>15</v>
      </c>
      <c r="H1242" s="0" t="str">
        <f aca="false">IF(F1242&lt;G1242,"SI","NO")</f>
        <v>SI</v>
      </c>
    </row>
    <row r="1243" customFormat="false" ht="15" hidden="false" customHeight="false" outlineLevel="0" collapsed="false">
      <c r="A1243" s="0" t="s">
        <v>3135</v>
      </c>
      <c r="B1243" s="0" t="s">
        <v>3136</v>
      </c>
      <c r="C1243" s="0" t="s">
        <v>2202</v>
      </c>
      <c r="D1243" s="2" t="s">
        <v>15</v>
      </c>
      <c r="E1243" s="0" t="str">
        <f aca="false">VLOOKUP(D1243,Fornitori!$A$2:$C$6,2,FALSE())</f>
        <v>Rulmeca Italia</v>
      </c>
      <c r="F1243" s="0" t="n">
        <v>37</v>
      </c>
      <c r="G1243" s="0" t="n">
        <v>5</v>
      </c>
      <c r="H1243" s="0" t="str">
        <f aca="false">IF(F1243&lt;G1243,"SI","NO")</f>
        <v>NO</v>
      </c>
    </row>
    <row r="1244" customFormat="false" ht="15" hidden="false" customHeight="false" outlineLevel="0" collapsed="false">
      <c r="A1244" s="0" t="s">
        <v>3137</v>
      </c>
      <c r="B1244" s="0" t="s">
        <v>3138</v>
      </c>
      <c r="C1244" s="0" t="s">
        <v>3139</v>
      </c>
      <c r="D1244" s="2" t="s">
        <v>19</v>
      </c>
      <c r="E1244" s="0" t="str">
        <f aca="false">VLOOKUP(D1244,Fornitori!$A$2:$C$6,2,FALSE())</f>
        <v>Elettrotecnica Ferri</v>
      </c>
      <c r="F1244" s="0" t="n">
        <v>8</v>
      </c>
      <c r="G1244" s="0" t="n">
        <v>15</v>
      </c>
      <c r="H1244" s="0" t="str">
        <f aca="false">IF(F1244&lt;G1244,"SI","NO")</f>
        <v>SI</v>
      </c>
    </row>
    <row r="1245" customFormat="false" ht="15" hidden="false" customHeight="false" outlineLevel="0" collapsed="false">
      <c r="A1245" s="0" t="s">
        <v>3140</v>
      </c>
      <c r="B1245" s="0" t="s">
        <v>2037</v>
      </c>
      <c r="C1245" s="0" t="s">
        <v>3141</v>
      </c>
      <c r="D1245" s="2" t="s">
        <v>23</v>
      </c>
      <c r="E1245" s="0" t="str">
        <f aca="false">VLOOKUP(D1245,Fornitori!$A$2:$C$6,2,FALSE())</f>
        <v>Pneumax Service</v>
      </c>
      <c r="F1245" s="0" t="n">
        <v>15</v>
      </c>
      <c r="G1245" s="0" t="n">
        <v>22</v>
      </c>
      <c r="H1245" s="0" t="str">
        <f aca="false">IF(F1245&lt;G1245,"SI","NO")</f>
        <v>SI</v>
      </c>
    </row>
    <row r="1246" customFormat="false" ht="15" hidden="false" customHeight="false" outlineLevel="0" collapsed="false">
      <c r="A1246" s="0" t="s">
        <v>3142</v>
      </c>
      <c r="B1246" s="0" t="s">
        <v>205</v>
      </c>
      <c r="C1246" s="0" t="s">
        <v>3143</v>
      </c>
      <c r="D1246" s="2" t="s">
        <v>27</v>
      </c>
      <c r="E1246" s="0" t="str">
        <f aca="false">VLOOKUP(D1246,Fornitori!$A$2:$C$6,2,FALSE())</f>
        <v>Guarnizioni Alpi</v>
      </c>
      <c r="F1246" s="0" t="n">
        <v>16</v>
      </c>
      <c r="G1246" s="0" t="n">
        <v>16</v>
      </c>
      <c r="H1246" s="0" t="str">
        <f aca="false">IF(F1246&lt;G1246,"SI","NO")</f>
        <v>NO</v>
      </c>
    </row>
    <row r="1247" customFormat="false" ht="15" hidden="false" customHeight="false" outlineLevel="0" collapsed="false">
      <c r="A1247" s="0" t="s">
        <v>3144</v>
      </c>
      <c r="B1247" s="0" t="s">
        <v>1164</v>
      </c>
      <c r="C1247" s="0" t="s">
        <v>224</v>
      </c>
      <c r="D1247" s="2" t="s">
        <v>11</v>
      </c>
      <c r="E1247" s="0" t="str">
        <f aca="false">VLOOKUP(D1247,Fornitori!$A$2:$C$6,2,FALSE())</f>
        <v>Meccanica Bassi S.r.l.</v>
      </c>
      <c r="F1247" s="0" t="n">
        <v>20</v>
      </c>
      <c r="G1247" s="0" t="n">
        <v>8</v>
      </c>
      <c r="H1247" s="0" t="str">
        <f aca="false">IF(F1247&lt;G1247,"SI","NO")</f>
        <v>NO</v>
      </c>
    </row>
    <row r="1248" customFormat="false" ht="15" hidden="false" customHeight="false" outlineLevel="0" collapsed="false">
      <c r="A1248" s="0" t="s">
        <v>3145</v>
      </c>
      <c r="B1248" s="0" t="s">
        <v>3146</v>
      </c>
      <c r="C1248" s="0" t="s">
        <v>601</v>
      </c>
      <c r="D1248" s="2" t="s">
        <v>15</v>
      </c>
      <c r="E1248" s="0" t="str">
        <f aca="false">VLOOKUP(D1248,Fornitori!$A$2:$C$6,2,FALSE())</f>
        <v>Rulmeca Italia</v>
      </c>
      <c r="F1248" s="0" t="n">
        <v>7</v>
      </c>
      <c r="G1248" s="0" t="n">
        <v>16</v>
      </c>
      <c r="H1248" s="0" t="str">
        <f aca="false">IF(F1248&lt;G1248,"SI","NO")</f>
        <v>SI</v>
      </c>
    </row>
    <row r="1249" customFormat="false" ht="15" hidden="false" customHeight="false" outlineLevel="0" collapsed="false">
      <c r="A1249" s="0" t="s">
        <v>3147</v>
      </c>
      <c r="B1249" s="0" t="s">
        <v>3148</v>
      </c>
      <c r="C1249" s="0" t="s">
        <v>1560</v>
      </c>
      <c r="D1249" s="2" t="s">
        <v>19</v>
      </c>
      <c r="E1249" s="0" t="str">
        <f aca="false">VLOOKUP(D1249,Fornitori!$A$2:$C$6,2,FALSE())</f>
        <v>Elettrotecnica Ferri</v>
      </c>
      <c r="F1249" s="0" t="n">
        <v>3</v>
      </c>
      <c r="G1249" s="0" t="n">
        <v>14</v>
      </c>
      <c r="H1249" s="0" t="str">
        <f aca="false">IF(F1249&lt;G1249,"SI","NO")</f>
        <v>SI</v>
      </c>
    </row>
    <row r="1250" customFormat="false" ht="15" hidden="false" customHeight="false" outlineLevel="0" collapsed="false">
      <c r="A1250" s="0" t="s">
        <v>3149</v>
      </c>
      <c r="B1250" s="0" t="s">
        <v>3150</v>
      </c>
      <c r="C1250" s="0" t="s">
        <v>1580</v>
      </c>
      <c r="D1250" s="2" t="s">
        <v>23</v>
      </c>
      <c r="E1250" s="0" t="str">
        <f aca="false">VLOOKUP(D1250,Fornitori!$A$2:$C$6,2,FALSE())</f>
        <v>Pneumax Service</v>
      </c>
      <c r="F1250" s="0" t="n">
        <v>15</v>
      </c>
      <c r="G1250" s="0" t="n">
        <v>12</v>
      </c>
      <c r="H1250" s="0" t="str">
        <f aca="false">IF(F1250&lt;G1250,"SI","NO")</f>
        <v>NO</v>
      </c>
    </row>
    <row r="1251" customFormat="false" ht="15" hidden="false" customHeight="false" outlineLevel="0" collapsed="false">
      <c r="A1251" s="0" t="s">
        <v>3151</v>
      </c>
      <c r="B1251" s="0" t="s">
        <v>3152</v>
      </c>
      <c r="C1251" s="0" t="s">
        <v>3153</v>
      </c>
      <c r="D1251" s="2" t="s">
        <v>27</v>
      </c>
      <c r="E1251" s="0" t="str">
        <f aca="false">VLOOKUP(D1251,Fornitori!$A$2:$C$6,2,FALSE())</f>
        <v>Guarnizioni Alpi</v>
      </c>
      <c r="F1251" s="0" t="n">
        <v>7</v>
      </c>
      <c r="G1251" s="0" t="n">
        <v>12</v>
      </c>
      <c r="H1251" s="0" t="str">
        <f aca="false">IF(F1251&lt;G1251,"SI","NO")</f>
        <v>SI</v>
      </c>
    </row>
    <row r="1252" customFormat="false" ht="15" hidden="false" customHeight="false" outlineLevel="0" collapsed="false">
      <c r="A1252" s="0" t="s">
        <v>3154</v>
      </c>
      <c r="B1252" s="0" t="s">
        <v>2500</v>
      </c>
      <c r="C1252" s="0" t="s">
        <v>2514</v>
      </c>
      <c r="D1252" s="2" t="s">
        <v>11</v>
      </c>
      <c r="E1252" s="0" t="str">
        <f aca="false">VLOOKUP(D1252,Fornitori!$A$2:$C$6,2,FALSE())</f>
        <v>Meccanica Bassi S.r.l.</v>
      </c>
      <c r="F1252" s="0" t="n">
        <v>52</v>
      </c>
      <c r="G1252" s="0" t="n">
        <v>19</v>
      </c>
      <c r="H1252" s="0" t="str">
        <f aca="false">IF(F1252&lt;G1252,"SI","NO")</f>
        <v>NO</v>
      </c>
    </row>
    <row r="1253" customFormat="false" ht="15" hidden="false" customHeight="false" outlineLevel="0" collapsed="false">
      <c r="A1253" s="0" t="s">
        <v>3155</v>
      </c>
      <c r="B1253" s="0" t="s">
        <v>1308</v>
      </c>
      <c r="C1253" s="0" t="s">
        <v>3156</v>
      </c>
      <c r="D1253" s="2" t="s">
        <v>15</v>
      </c>
      <c r="E1253" s="0" t="str">
        <f aca="false">VLOOKUP(D1253,Fornitori!$A$2:$C$6,2,FALSE())</f>
        <v>Rulmeca Italia</v>
      </c>
      <c r="F1253" s="0" t="n">
        <v>4</v>
      </c>
      <c r="G1253" s="0" t="n">
        <v>19</v>
      </c>
      <c r="H1253" s="0" t="str">
        <f aca="false">IF(F1253&lt;G1253,"SI","NO")</f>
        <v>SI</v>
      </c>
    </row>
    <row r="1254" customFormat="false" ht="15" hidden="false" customHeight="false" outlineLevel="0" collapsed="false">
      <c r="A1254" s="0" t="s">
        <v>3157</v>
      </c>
      <c r="B1254" s="0" t="s">
        <v>3158</v>
      </c>
      <c r="C1254" s="0" t="s">
        <v>3159</v>
      </c>
      <c r="D1254" s="2" t="s">
        <v>19</v>
      </c>
      <c r="E1254" s="0" t="str">
        <f aca="false">VLOOKUP(D1254,Fornitori!$A$2:$C$6,2,FALSE())</f>
        <v>Elettrotecnica Ferri</v>
      </c>
      <c r="F1254" s="0" t="n">
        <v>37</v>
      </c>
      <c r="G1254" s="0" t="n">
        <v>5</v>
      </c>
      <c r="H1254" s="0" t="str">
        <f aca="false">IF(F1254&lt;G1254,"SI","NO")</f>
        <v>NO</v>
      </c>
    </row>
    <row r="1255" customFormat="false" ht="15" hidden="false" customHeight="false" outlineLevel="0" collapsed="false">
      <c r="A1255" s="0" t="s">
        <v>3160</v>
      </c>
      <c r="B1255" s="0" t="s">
        <v>2662</v>
      </c>
      <c r="C1255" s="0" t="s">
        <v>3161</v>
      </c>
      <c r="D1255" s="2" t="s">
        <v>23</v>
      </c>
      <c r="E1255" s="0" t="str">
        <f aca="false">VLOOKUP(D1255,Fornitori!$A$2:$C$6,2,FALSE())</f>
        <v>Pneumax Service</v>
      </c>
      <c r="F1255" s="0" t="n">
        <v>46</v>
      </c>
      <c r="G1255" s="0" t="n">
        <v>8</v>
      </c>
      <c r="H1255" s="0" t="str">
        <f aca="false">IF(F1255&lt;G1255,"SI","NO")</f>
        <v>NO</v>
      </c>
    </row>
    <row r="1256" customFormat="false" ht="15" hidden="false" customHeight="false" outlineLevel="0" collapsed="false">
      <c r="A1256" s="0" t="s">
        <v>3162</v>
      </c>
      <c r="B1256" s="0" t="s">
        <v>998</v>
      </c>
      <c r="C1256" s="0" t="s">
        <v>2441</v>
      </c>
      <c r="D1256" s="2" t="s">
        <v>27</v>
      </c>
      <c r="E1256" s="0" t="str">
        <f aca="false">VLOOKUP(D1256,Fornitori!$A$2:$C$6,2,FALSE())</f>
        <v>Guarnizioni Alpi</v>
      </c>
      <c r="F1256" s="0" t="n">
        <v>57</v>
      </c>
      <c r="G1256" s="0" t="n">
        <v>15</v>
      </c>
      <c r="H1256" s="0" t="str">
        <f aca="false">IF(F1256&lt;G1256,"SI","NO")</f>
        <v>NO</v>
      </c>
    </row>
    <row r="1257" customFormat="false" ht="15" hidden="false" customHeight="false" outlineLevel="0" collapsed="false">
      <c r="A1257" s="0" t="s">
        <v>3163</v>
      </c>
      <c r="B1257" s="0" t="s">
        <v>833</v>
      </c>
      <c r="C1257" s="0" t="s">
        <v>2047</v>
      </c>
      <c r="D1257" s="2" t="s">
        <v>11</v>
      </c>
      <c r="E1257" s="0" t="str">
        <f aca="false">VLOOKUP(D1257,Fornitori!$A$2:$C$6,2,FALSE())</f>
        <v>Meccanica Bassi S.r.l.</v>
      </c>
      <c r="F1257" s="0" t="n">
        <v>33</v>
      </c>
      <c r="G1257" s="0" t="n">
        <v>15</v>
      </c>
      <c r="H1257" s="0" t="str">
        <f aca="false">IF(F1257&lt;G1257,"SI","NO")</f>
        <v>NO</v>
      </c>
    </row>
    <row r="1258" customFormat="false" ht="15" hidden="false" customHeight="false" outlineLevel="0" collapsed="false">
      <c r="A1258" s="0" t="s">
        <v>3164</v>
      </c>
      <c r="B1258" s="0" t="s">
        <v>3165</v>
      </c>
      <c r="C1258" s="0" t="s">
        <v>3077</v>
      </c>
      <c r="D1258" s="2" t="s">
        <v>15</v>
      </c>
      <c r="E1258" s="0" t="str">
        <f aca="false">VLOOKUP(D1258,Fornitori!$A$2:$C$6,2,FALSE())</f>
        <v>Rulmeca Italia</v>
      </c>
      <c r="F1258" s="0" t="n">
        <v>26</v>
      </c>
      <c r="G1258" s="0" t="n">
        <v>24</v>
      </c>
      <c r="H1258" s="0" t="str">
        <f aca="false">IF(F1258&lt;G1258,"SI","NO")</f>
        <v>NO</v>
      </c>
    </row>
    <row r="1259" customFormat="false" ht="15" hidden="false" customHeight="false" outlineLevel="0" collapsed="false">
      <c r="A1259" s="0" t="s">
        <v>3166</v>
      </c>
      <c r="B1259" s="0" t="s">
        <v>3167</v>
      </c>
      <c r="C1259" s="0" t="s">
        <v>2165</v>
      </c>
      <c r="D1259" s="2" t="s">
        <v>19</v>
      </c>
      <c r="E1259" s="0" t="str">
        <f aca="false">VLOOKUP(D1259,Fornitori!$A$2:$C$6,2,FALSE())</f>
        <v>Elettrotecnica Ferri</v>
      </c>
      <c r="F1259" s="0" t="n">
        <v>7</v>
      </c>
      <c r="G1259" s="0" t="n">
        <v>15</v>
      </c>
      <c r="H1259" s="0" t="str">
        <f aca="false">IF(F1259&lt;G1259,"SI","NO")</f>
        <v>SI</v>
      </c>
    </row>
    <row r="1260" customFormat="false" ht="15" hidden="false" customHeight="false" outlineLevel="0" collapsed="false">
      <c r="A1260" s="0" t="s">
        <v>3168</v>
      </c>
      <c r="B1260" s="0" t="s">
        <v>3169</v>
      </c>
      <c r="C1260" s="0" t="s">
        <v>3170</v>
      </c>
      <c r="D1260" s="2" t="s">
        <v>23</v>
      </c>
      <c r="E1260" s="0" t="str">
        <f aca="false">VLOOKUP(D1260,Fornitori!$A$2:$C$6,2,FALSE())</f>
        <v>Pneumax Service</v>
      </c>
      <c r="F1260" s="0" t="n">
        <v>9</v>
      </c>
      <c r="G1260" s="0" t="n">
        <v>21</v>
      </c>
      <c r="H1260" s="0" t="str">
        <f aca="false">IF(F1260&lt;G1260,"SI","NO")</f>
        <v>SI</v>
      </c>
    </row>
    <row r="1261" customFormat="false" ht="15" hidden="false" customHeight="false" outlineLevel="0" collapsed="false">
      <c r="A1261" s="0" t="s">
        <v>3171</v>
      </c>
      <c r="B1261" s="0" t="s">
        <v>3172</v>
      </c>
      <c r="C1261" s="0" t="s">
        <v>3173</v>
      </c>
      <c r="D1261" s="2" t="s">
        <v>27</v>
      </c>
      <c r="E1261" s="0" t="str">
        <f aca="false">VLOOKUP(D1261,Fornitori!$A$2:$C$6,2,FALSE())</f>
        <v>Guarnizioni Alpi</v>
      </c>
      <c r="F1261" s="0" t="n">
        <v>46</v>
      </c>
      <c r="G1261" s="0" t="n">
        <v>9</v>
      </c>
      <c r="H1261" s="0" t="str">
        <f aca="false">IF(F1261&lt;G1261,"SI","NO")</f>
        <v>NO</v>
      </c>
    </row>
    <row r="1262" customFormat="false" ht="15" hidden="false" customHeight="false" outlineLevel="0" collapsed="false">
      <c r="A1262" s="0" t="s">
        <v>3174</v>
      </c>
      <c r="B1262" s="0" t="s">
        <v>3175</v>
      </c>
      <c r="C1262" s="0" t="s">
        <v>3176</v>
      </c>
      <c r="D1262" s="2" t="s">
        <v>11</v>
      </c>
      <c r="E1262" s="0" t="str">
        <f aca="false">VLOOKUP(D1262,Fornitori!$A$2:$C$6,2,FALSE())</f>
        <v>Meccanica Bassi S.r.l.</v>
      </c>
      <c r="F1262" s="0" t="n">
        <v>10</v>
      </c>
      <c r="G1262" s="0" t="n">
        <v>23</v>
      </c>
      <c r="H1262" s="0" t="str">
        <f aca="false">IF(F1262&lt;G1262,"SI","NO")</f>
        <v>SI</v>
      </c>
    </row>
    <row r="1263" customFormat="false" ht="15" hidden="false" customHeight="false" outlineLevel="0" collapsed="false">
      <c r="A1263" s="0" t="s">
        <v>3177</v>
      </c>
      <c r="B1263" s="0" t="s">
        <v>2702</v>
      </c>
      <c r="C1263" s="0" t="s">
        <v>3178</v>
      </c>
      <c r="D1263" s="2" t="s">
        <v>15</v>
      </c>
      <c r="E1263" s="0" t="str">
        <f aca="false">VLOOKUP(D1263,Fornitori!$A$2:$C$6,2,FALSE())</f>
        <v>Rulmeca Italia</v>
      </c>
      <c r="F1263" s="0" t="n">
        <v>21</v>
      </c>
      <c r="G1263" s="0" t="n">
        <v>10</v>
      </c>
      <c r="H1263" s="0" t="str">
        <f aca="false">IF(F1263&lt;G1263,"SI","NO")</f>
        <v>NO</v>
      </c>
    </row>
    <row r="1264" customFormat="false" ht="15" hidden="false" customHeight="false" outlineLevel="0" collapsed="false">
      <c r="A1264" s="0" t="s">
        <v>3179</v>
      </c>
      <c r="B1264" s="0" t="s">
        <v>3180</v>
      </c>
      <c r="C1264" s="0" t="s">
        <v>87</v>
      </c>
      <c r="D1264" s="2" t="s">
        <v>19</v>
      </c>
      <c r="E1264" s="0" t="str">
        <f aca="false">VLOOKUP(D1264,Fornitori!$A$2:$C$6,2,FALSE())</f>
        <v>Elettrotecnica Ferri</v>
      </c>
      <c r="F1264" s="0" t="n">
        <v>9</v>
      </c>
      <c r="G1264" s="0" t="n">
        <v>16</v>
      </c>
      <c r="H1264" s="0" t="str">
        <f aca="false">IF(F1264&lt;G1264,"SI","NO")</f>
        <v>SI</v>
      </c>
    </row>
    <row r="1265" customFormat="false" ht="15" hidden="false" customHeight="false" outlineLevel="0" collapsed="false">
      <c r="A1265" s="0" t="s">
        <v>3181</v>
      </c>
      <c r="B1265" s="0" t="s">
        <v>1232</v>
      </c>
      <c r="C1265" s="0" t="s">
        <v>2343</v>
      </c>
      <c r="D1265" s="2" t="s">
        <v>23</v>
      </c>
      <c r="E1265" s="0" t="str">
        <f aca="false">VLOOKUP(D1265,Fornitori!$A$2:$C$6,2,FALSE())</f>
        <v>Pneumax Service</v>
      </c>
      <c r="F1265" s="0" t="n">
        <v>21</v>
      </c>
      <c r="G1265" s="0" t="n">
        <v>11</v>
      </c>
      <c r="H1265" s="0" t="str">
        <f aca="false">IF(F1265&lt;G1265,"SI","NO")</f>
        <v>NO</v>
      </c>
    </row>
    <row r="1266" customFormat="false" ht="15" hidden="false" customHeight="false" outlineLevel="0" collapsed="false">
      <c r="A1266" s="0" t="s">
        <v>3182</v>
      </c>
      <c r="B1266" s="0" t="s">
        <v>3057</v>
      </c>
      <c r="C1266" s="0" t="s">
        <v>3183</v>
      </c>
      <c r="D1266" s="2" t="s">
        <v>27</v>
      </c>
      <c r="E1266" s="0" t="str">
        <f aca="false">VLOOKUP(D1266,Fornitori!$A$2:$C$6,2,FALSE())</f>
        <v>Guarnizioni Alpi</v>
      </c>
      <c r="F1266" s="0" t="n">
        <v>58</v>
      </c>
      <c r="G1266" s="0" t="n">
        <v>16</v>
      </c>
      <c r="H1266" s="0" t="str">
        <f aca="false">IF(F1266&lt;G1266,"SI","NO")</f>
        <v>NO</v>
      </c>
    </row>
    <row r="1267" customFormat="false" ht="15" hidden="false" customHeight="false" outlineLevel="0" collapsed="false">
      <c r="A1267" s="0" t="s">
        <v>3184</v>
      </c>
      <c r="B1267" s="0" t="s">
        <v>3185</v>
      </c>
      <c r="C1267" s="0" t="s">
        <v>3186</v>
      </c>
      <c r="D1267" s="2" t="s">
        <v>11</v>
      </c>
      <c r="E1267" s="0" t="str">
        <f aca="false">VLOOKUP(D1267,Fornitori!$A$2:$C$6,2,FALSE())</f>
        <v>Meccanica Bassi S.r.l.</v>
      </c>
      <c r="F1267" s="0" t="n">
        <v>41</v>
      </c>
      <c r="G1267" s="0" t="n">
        <v>15</v>
      </c>
      <c r="H1267" s="0" t="str">
        <f aca="false">IF(F1267&lt;G1267,"SI","NO")</f>
        <v>NO</v>
      </c>
    </row>
    <row r="1268" customFormat="false" ht="15" hidden="false" customHeight="false" outlineLevel="0" collapsed="false">
      <c r="A1268" s="0" t="s">
        <v>3187</v>
      </c>
      <c r="B1268" s="0" t="s">
        <v>3188</v>
      </c>
      <c r="C1268" s="0" t="s">
        <v>3189</v>
      </c>
      <c r="D1268" s="2" t="s">
        <v>15</v>
      </c>
      <c r="E1268" s="0" t="str">
        <f aca="false">VLOOKUP(D1268,Fornitori!$A$2:$C$6,2,FALSE())</f>
        <v>Rulmeca Italia</v>
      </c>
      <c r="F1268" s="0" t="n">
        <v>16</v>
      </c>
      <c r="G1268" s="0" t="n">
        <v>7</v>
      </c>
      <c r="H1268" s="0" t="str">
        <f aca="false">IF(F1268&lt;G1268,"SI","NO")</f>
        <v>NO</v>
      </c>
    </row>
    <row r="1269" customFormat="false" ht="15" hidden="false" customHeight="false" outlineLevel="0" collapsed="false">
      <c r="A1269" s="0" t="s">
        <v>3190</v>
      </c>
      <c r="B1269" s="0" t="s">
        <v>3191</v>
      </c>
      <c r="C1269" s="0" t="s">
        <v>45</v>
      </c>
      <c r="D1269" s="2" t="s">
        <v>19</v>
      </c>
      <c r="E1269" s="0" t="str">
        <f aca="false">VLOOKUP(D1269,Fornitori!$A$2:$C$6,2,FALSE())</f>
        <v>Elettrotecnica Ferri</v>
      </c>
      <c r="F1269" s="0" t="n">
        <v>20</v>
      </c>
      <c r="G1269" s="0" t="n">
        <v>24</v>
      </c>
      <c r="H1269" s="0" t="str">
        <f aca="false">IF(F1269&lt;G1269,"SI","NO")</f>
        <v>SI</v>
      </c>
    </row>
    <row r="1270" customFormat="false" ht="15" hidden="false" customHeight="false" outlineLevel="0" collapsed="false">
      <c r="A1270" s="0" t="s">
        <v>3192</v>
      </c>
      <c r="B1270" s="0" t="s">
        <v>1858</v>
      </c>
      <c r="C1270" s="0" t="s">
        <v>3193</v>
      </c>
      <c r="D1270" s="2" t="s">
        <v>23</v>
      </c>
      <c r="E1270" s="0" t="str">
        <f aca="false">VLOOKUP(D1270,Fornitori!$A$2:$C$6,2,FALSE())</f>
        <v>Pneumax Service</v>
      </c>
      <c r="F1270" s="0" t="n">
        <v>50</v>
      </c>
      <c r="G1270" s="0" t="n">
        <v>6</v>
      </c>
      <c r="H1270" s="0" t="str">
        <f aca="false">IF(F1270&lt;G1270,"SI","NO")</f>
        <v>NO</v>
      </c>
    </row>
    <row r="1271" customFormat="false" ht="15" hidden="false" customHeight="false" outlineLevel="0" collapsed="false">
      <c r="A1271" s="0" t="s">
        <v>3194</v>
      </c>
      <c r="B1271" s="0" t="s">
        <v>3195</v>
      </c>
      <c r="C1271" s="0" t="s">
        <v>1437</v>
      </c>
      <c r="D1271" s="2" t="s">
        <v>27</v>
      </c>
      <c r="E1271" s="0" t="str">
        <f aca="false">VLOOKUP(D1271,Fornitori!$A$2:$C$6,2,FALSE())</f>
        <v>Guarnizioni Alpi</v>
      </c>
      <c r="F1271" s="0" t="n">
        <v>36</v>
      </c>
      <c r="G1271" s="0" t="n">
        <v>13</v>
      </c>
      <c r="H1271" s="0" t="str">
        <f aca="false">IF(F1271&lt;G1271,"SI","NO")</f>
        <v>NO</v>
      </c>
    </row>
    <row r="1272" customFormat="false" ht="15" hidden="false" customHeight="false" outlineLevel="0" collapsed="false">
      <c r="A1272" s="0" t="s">
        <v>3196</v>
      </c>
      <c r="B1272" s="0" t="s">
        <v>454</v>
      </c>
      <c r="C1272" s="0" t="s">
        <v>2258</v>
      </c>
      <c r="D1272" s="2" t="s">
        <v>11</v>
      </c>
      <c r="E1272" s="0" t="str">
        <f aca="false">VLOOKUP(D1272,Fornitori!$A$2:$C$6,2,FALSE())</f>
        <v>Meccanica Bassi S.r.l.</v>
      </c>
      <c r="F1272" s="0" t="n">
        <v>31</v>
      </c>
      <c r="G1272" s="0" t="n">
        <v>22</v>
      </c>
      <c r="H1272" s="0" t="str">
        <f aca="false">IF(F1272&lt;G1272,"SI","NO")</f>
        <v>NO</v>
      </c>
    </row>
    <row r="1273" customFormat="false" ht="15" hidden="false" customHeight="false" outlineLevel="0" collapsed="false">
      <c r="A1273" s="0" t="s">
        <v>3197</v>
      </c>
      <c r="B1273" s="0" t="s">
        <v>3198</v>
      </c>
      <c r="C1273" s="0" t="s">
        <v>2738</v>
      </c>
      <c r="D1273" s="2" t="s">
        <v>15</v>
      </c>
      <c r="E1273" s="0" t="str">
        <f aca="false">VLOOKUP(D1273,Fornitori!$A$2:$C$6,2,FALSE())</f>
        <v>Rulmeca Italia</v>
      </c>
      <c r="F1273" s="0" t="n">
        <v>54</v>
      </c>
      <c r="G1273" s="0" t="n">
        <v>8</v>
      </c>
      <c r="H1273" s="0" t="str">
        <f aca="false">IF(F1273&lt;G1273,"SI","NO")</f>
        <v>NO</v>
      </c>
    </row>
    <row r="1274" customFormat="false" ht="15" hidden="false" customHeight="false" outlineLevel="0" collapsed="false">
      <c r="A1274" s="0" t="s">
        <v>3199</v>
      </c>
      <c r="B1274" s="0" t="s">
        <v>3200</v>
      </c>
      <c r="C1274" s="0" t="s">
        <v>3201</v>
      </c>
      <c r="D1274" s="2" t="s">
        <v>19</v>
      </c>
      <c r="E1274" s="0" t="str">
        <f aca="false">VLOOKUP(D1274,Fornitori!$A$2:$C$6,2,FALSE())</f>
        <v>Elettrotecnica Ferri</v>
      </c>
      <c r="F1274" s="0" t="n">
        <v>45</v>
      </c>
      <c r="G1274" s="0" t="n">
        <v>8</v>
      </c>
      <c r="H1274" s="0" t="str">
        <f aca="false">IF(F1274&lt;G1274,"SI","NO")</f>
        <v>NO</v>
      </c>
    </row>
    <row r="1275" customFormat="false" ht="15" hidden="false" customHeight="false" outlineLevel="0" collapsed="false">
      <c r="A1275" s="0" t="s">
        <v>3202</v>
      </c>
      <c r="B1275" s="0" t="s">
        <v>3203</v>
      </c>
      <c r="C1275" s="0" t="s">
        <v>924</v>
      </c>
      <c r="D1275" s="2" t="s">
        <v>23</v>
      </c>
      <c r="E1275" s="0" t="str">
        <f aca="false">VLOOKUP(D1275,Fornitori!$A$2:$C$6,2,FALSE())</f>
        <v>Pneumax Service</v>
      </c>
      <c r="F1275" s="0" t="n">
        <v>17</v>
      </c>
      <c r="G1275" s="0" t="n">
        <v>24</v>
      </c>
      <c r="H1275" s="0" t="str">
        <f aca="false">IF(F1275&lt;G1275,"SI","NO")</f>
        <v>SI</v>
      </c>
    </row>
    <row r="1276" customFormat="false" ht="15" hidden="false" customHeight="false" outlineLevel="0" collapsed="false">
      <c r="A1276" s="0" t="s">
        <v>3204</v>
      </c>
      <c r="B1276" s="0" t="s">
        <v>3205</v>
      </c>
      <c r="C1276" s="0" t="s">
        <v>3206</v>
      </c>
      <c r="D1276" s="2" t="s">
        <v>27</v>
      </c>
      <c r="E1276" s="0" t="str">
        <f aca="false">VLOOKUP(D1276,Fornitori!$A$2:$C$6,2,FALSE())</f>
        <v>Guarnizioni Alpi</v>
      </c>
      <c r="F1276" s="0" t="n">
        <v>24</v>
      </c>
      <c r="G1276" s="0" t="n">
        <v>16</v>
      </c>
      <c r="H1276" s="0" t="str">
        <f aca="false">IF(F1276&lt;G1276,"SI","NO")</f>
        <v>NO</v>
      </c>
    </row>
    <row r="1277" customFormat="false" ht="15" hidden="false" customHeight="false" outlineLevel="0" collapsed="false">
      <c r="A1277" s="0" t="s">
        <v>3207</v>
      </c>
      <c r="B1277" s="0" t="s">
        <v>3208</v>
      </c>
      <c r="C1277" s="0" t="s">
        <v>3008</v>
      </c>
      <c r="D1277" s="2" t="s">
        <v>11</v>
      </c>
      <c r="E1277" s="0" t="str">
        <f aca="false">VLOOKUP(D1277,Fornitori!$A$2:$C$6,2,FALSE())</f>
        <v>Meccanica Bassi S.r.l.</v>
      </c>
      <c r="F1277" s="0" t="n">
        <v>15</v>
      </c>
      <c r="G1277" s="0" t="n">
        <v>10</v>
      </c>
      <c r="H1277" s="0" t="str">
        <f aca="false">IF(F1277&lt;G1277,"SI","NO")</f>
        <v>NO</v>
      </c>
    </row>
    <row r="1278" customFormat="false" ht="15" hidden="false" customHeight="false" outlineLevel="0" collapsed="false">
      <c r="A1278" s="0" t="s">
        <v>3209</v>
      </c>
      <c r="B1278" s="0" t="s">
        <v>3210</v>
      </c>
      <c r="C1278" s="0" t="s">
        <v>1097</v>
      </c>
      <c r="D1278" s="2" t="s">
        <v>15</v>
      </c>
      <c r="E1278" s="0" t="str">
        <f aca="false">VLOOKUP(D1278,Fornitori!$A$2:$C$6,2,FALSE())</f>
        <v>Rulmeca Italia</v>
      </c>
      <c r="F1278" s="0" t="n">
        <v>1</v>
      </c>
      <c r="G1278" s="0" t="n">
        <v>12</v>
      </c>
      <c r="H1278" s="0" t="str">
        <f aca="false">IF(F1278&lt;G1278,"SI","NO")</f>
        <v>SI</v>
      </c>
    </row>
    <row r="1279" customFormat="false" ht="15" hidden="false" customHeight="false" outlineLevel="0" collapsed="false">
      <c r="A1279" s="0" t="s">
        <v>3211</v>
      </c>
      <c r="B1279" s="0" t="s">
        <v>3212</v>
      </c>
      <c r="C1279" s="0" t="s">
        <v>2333</v>
      </c>
      <c r="D1279" s="2" t="s">
        <v>19</v>
      </c>
      <c r="E1279" s="0" t="str">
        <f aca="false">VLOOKUP(D1279,Fornitori!$A$2:$C$6,2,FALSE())</f>
        <v>Elettrotecnica Ferri</v>
      </c>
      <c r="F1279" s="0" t="n">
        <v>46</v>
      </c>
      <c r="G1279" s="0" t="n">
        <v>18</v>
      </c>
      <c r="H1279" s="0" t="str">
        <f aca="false">IF(F1279&lt;G1279,"SI","NO")</f>
        <v>NO</v>
      </c>
    </row>
    <row r="1280" customFormat="false" ht="15" hidden="false" customHeight="false" outlineLevel="0" collapsed="false">
      <c r="A1280" s="0" t="s">
        <v>3213</v>
      </c>
      <c r="B1280" s="0" t="s">
        <v>3214</v>
      </c>
      <c r="C1280" s="0" t="s">
        <v>3215</v>
      </c>
      <c r="D1280" s="2" t="s">
        <v>23</v>
      </c>
      <c r="E1280" s="0" t="str">
        <f aca="false">VLOOKUP(D1280,Fornitori!$A$2:$C$6,2,FALSE())</f>
        <v>Pneumax Service</v>
      </c>
      <c r="F1280" s="0" t="n">
        <v>5</v>
      </c>
      <c r="G1280" s="0" t="n">
        <v>5</v>
      </c>
      <c r="H1280" s="0" t="str">
        <f aca="false">IF(F1280&lt;G1280,"SI","NO")</f>
        <v>NO</v>
      </c>
    </row>
    <row r="1281" customFormat="false" ht="15" hidden="false" customHeight="false" outlineLevel="0" collapsed="false">
      <c r="A1281" s="0" t="s">
        <v>3216</v>
      </c>
      <c r="B1281" s="0" t="s">
        <v>3217</v>
      </c>
      <c r="C1281" s="0" t="s">
        <v>3218</v>
      </c>
      <c r="D1281" s="2" t="s">
        <v>27</v>
      </c>
      <c r="E1281" s="0" t="str">
        <f aca="false">VLOOKUP(D1281,Fornitori!$A$2:$C$6,2,FALSE())</f>
        <v>Guarnizioni Alpi</v>
      </c>
      <c r="F1281" s="0" t="n">
        <v>50</v>
      </c>
      <c r="G1281" s="0" t="n">
        <v>10</v>
      </c>
      <c r="H1281" s="0" t="str">
        <f aca="false">IF(F1281&lt;G1281,"SI","NO")</f>
        <v>NO</v>
      </c>
    </row>
    <row r="1282" customFormat="false" ht="15" hidden="false" customHeight="false" outlineLevel="0" collapsed="false">
      <c r="A1282" s="0" t="s">
        <v>3219</v>
      </c>
      <c r="B1282" s="0" t="s">
        <v>2409</v>
      </c>
      <c r="C1282" s="0" t="s">
        <v>3220</v>
      </c>
      <c r="D1282" s="2" t="s">
        <v>11</v>
      </c>
      <c r="E1282" s="0" t="str">
        <f aca="false">VLOOKUP(D1282,Fornitori!$A$2:$C$6,2,FALSE())</f>
        <v>Meccanica Bassi S.r.l.</v>
      </c>
      <c r="F1282" s="0" t="n">
        <v>32</v>
      </c>
      <c r="G1282" s="0" t="n">
        <v>10</v>
      </c>
      <c r="H1282" s="0" t="str">
        <f aca="false">IF(F1282&lt;G1282,"SI","NO")</f>
        <v>NO</v>
      </c>
    </row>
    <row r="1283" customFormat="false" ht="15" hidden="false" customHeight="false" outlineLevel="0" collapsed="false">
      <c r="A1283" s="0" t="s">
        <v>3221</v>
      </c>
      <c r="B1283" s="0" t="s">
        <v>3222</v>
      </c>
      <c r="C1283" s="0" t="s">
        <v>2079</v>
      </c>
      <c r="D1283" s="2" t="s">
        <v>15</v>
      </c>
      <c r="E1283" s="0" t="str">
        <f aca="false">VLOOKUP(D1283,Fornitori!$A$2:$C$6,2,FALSE())</f>
        <v>Rulmeca Italia</v>
      </c>
      <c r="F1283" s="0" t="n">
        <v>18</v>
      </c>
      <c r="G1283" s="0" t="n">
        <v>15</v>
      </c>
      <c r="H1283" s="0" t="str">
        <f aca="false">IF(F1283&lt;G1283,"SI","NO")</f>
        <v>NO</v>
      </c>
    </row>
    <row r="1284" customFormat="false" ht="15" hidden="false" customHeight="false" outlineLevel="0" collapsed="false">
      <c r="A1284" s="0" t="s">
        <v>3223</v>
      </c>
      <c r="B1284" s="0" t="s">
        <v>1474</v>
      </c>
      <c r="C1284" s="0" t="s">
        <v>239</v>
      </c>
      <c r="D1284" s="2" t="s">
        <v>19</v>
      </c>
      <c r="E1284" s="0" t="str">
        <f aca="false">VLOOKUP(D1284,Fornitori!$A$2:$C$6,2,FALSE())</f>
        <v>Elettrotecnica Ferri</v>
      </c>
      <c r="F1284" s="0" t="n">
        <v>25</v>
      </c>
      <c r="G1284" s="0" t="n">
        <v>10</v>
      </c>
      <c r="H1284" s="0" t="str">
        <f aca="false">IF(F1284&lt;G1284,"SI","NO")</f>
        <v>NO</v>
      </c>
    </row>
    <row r="1285" customFormat="false" ht="15" hidden="false" customHeight="false" outlineLevel="0" collapsed="false">
      <c r="A1285" s="0" t="s">
        <v>3224</v>
      </c>
      <c r="B1285" s="0" t="s">
        <v>3225</v>
      </c>
      <c r="C1285" s="0" t="s">
        <v>30</v>
      </c>
      <c r="D1285" s="2" t="s">
        <v>23</v>
      </c>
      <c r="E1285" s="0" t="str">
        <f aca="false">VLOOKUP(D1285,Fornitori!$A$2:$C$6,2,FALSE())</f>
        <v>Pneumax Service</v>
      </c>
      <c r="F1285" s="0" t="n">
        <v>20</v>
      </c>
      <c r="G1285" s="0" t="n">
        <v>22</v>
      </c>
      <c r="H1285" s="0" t="str">
        <f aca="false">IF(F1285&lt;G1285,"SI","NO")</f>
        <v>SI</v>
      </c>
    </row>
    <row r="1286" customFormat="false" ht="15" hidden="false" customHeight="false" outlineLevel="0" collapsed="false">
      <c r="A1286" s="0" t="s">
        <v>3226</v>
      </c>
      <c r="B1286" s="0" t="s">
        <v>3227</v>
      </c>
      <c r="C1286" s="0" t="s">
        <v>850</v>
      </c>
      <c r="D1286" s="2" t="s">
        <v>27</v>
      </c>
      <c r="E1286" s="0" t="str">
        <f aca="false">VLOOKUP(D1286,Fornitori!$A$2:$C$6,2,FALSE())</f>
        <v>Guarnizioni Alpi</v>
      </c>
      <c r="F1286" s="0" t="n">
        <v>21</v>
      </c>
      <c r="G1286" s="0" t="n">
        <v>24</v>
      </c>
      <c r="H1286" s="0" t="str">
        <f aca="false">IF(F1286&lt;G1286,"SI","NO")</f>
        <v>SI</v>
      </c>
    </row>
    <row r="1287" customFormat="false" ht="15" hidden="false" customHeight="false" outlineLevel="0" collapsed="false">
      <c r="A1287" s="0" t="s">
        <v>3228</v>
      </c>
      <c r="B1287" s="0" t="s">
        <v>3229</v>
      </c>
      <c r="C1287" s="0" t="s">
        <v>3230</v>
      </c>
      <c r="D1287" s="2" t="s">
        <v>11</v>
      </c>
      <c r="E1287" s="0" t="str">
        <f aca="false">VLOOKUP(D1287,Fornitori!$A$2:$C$6,2,FALSE())</f>
        <v>Meccanica Bassi S.r.l.</v>
      </c>
      <c r="F1287" s="0" t="n">
        <v>39</v>
      </c>
      <c r="G1287" s="0" t="n">
        <v>8</v>
      </c>
      <c r="H1287" s="0" t="str">
        <f aca="false">IF(F1287&lt;G1287,"SI","NO")</f>
        <v>NO</v>
      </c>
    </row>
    <row r="1288" customFormat="false" ht="15" hidden="false" customHeight="false" outlineLevel="0" collapsed="false">
      <c r="A1288" s="0" t="s">
        <v>3231</v>
      </c>
      <c r="B1288" s="0" t="s">
        <v>3232</v>
      </c>
      <c r="C1288" s="0" t="s">
        <v>3233</v>
      </c>
      <c r="D1288" s="2" t="s">
        <v>15</v>
      </c>
      <c r="E1288" s="0" t="str">
        <f aca="false">VLOOKUP(D1288,Fornitori!$A$2:$C$6,2,FALSE())</f>
        <v>Rulmeca Italia</v>
      </c>
      <c r="F1288" s="0" t="n">
        <v>34</v>
      </c>
      <c r="G1288" s="0" t="n">
        <v>8</v>
      </c>
      <c r="H1288" s="0" t="str">
        <f aca="false">IF(F1288&lt;G1288,"SI","NO")</f>
        <v>NO</v>
      </c>
    </row>
    <row r="1289" customFormat="false" ht="15" hidden="false" customHeight="false" outlineLevel="0" collapsed="false">
      <c r="A1289" s="0" t="s">
        <v>3234</v>
      </c>
      <c r="B1289" s="0" t="s">
        <v>2845</v>
      </c>
      <c r="C1289" s="0" t="s">
        <v>1827</v>
      </c>
      <c r="D1289" s="2" t="s">
        <v>19</v>
      </c>
      <c r="E1289" s="0" t="str">
        <f aca="false">VLOOKUP(D1289,Fornitori!$A$2:$C$6,2,FALSE())</f>
        <v>Elettrotecnica Ferri</v>
      </c>
      <c r="F1289" s="0" t="n">
        <v>3</v>
      </c>
      <c r="G1289" s="0" t="n">
        <v>9</v>
      </c>
      <c r="H1289" s="0" t="str">
        <f aca="false">IF(F1289&lt;G1289,"SI","NO")</f>
        <v>SI</v>
      </c>
    </row>
    <row r="1290" customFormat="false" ht="15" hidden="false" customHeight="false" outlineLevel="0" collapsed="false">
      <c r="A1290" s="0" t="s">
        <v>3235</v>
      </c>
      <c r="B1290" s="0" t="s">
        <v>3236</v>
      </c>
      <c r="C1290" s="0" t="s">
        <v>1110</v>
      </c>
      <c r="D1290" s="2" t="s">
        <v>23</v>
      </c>
      <c r="E1290" s="0" t="str">
        <f aca="false">VLOOKUP(D1290,Fornitori!$A$2:$C$6,2,FALSE())</f>
        <v>Pneumax Service</v>
      </c>
      <c r="F1290" s="0" t="n">
        <v>21</v>
      </c>
      <c r="G1290" s="0" t="n">
        <v>9</v>
      </c>
      <c r="H1290" s="0" t="str">
        <f aca="false">IF(F1290&lt;G1290,"SI","NO")</f>
        <v>NO</v>
      </c>
    </row>
    <row r="1291" customFormat="false" ht="15" hidden="false" customHeight="false" outlineLevel="0" collapsed="false">
      <c r="A1291" s="0" t="s">
        <v>3237</v>
      </c>
      <c r="B1291" s="0" t="s">
        <v>1981</v>
      </c>
      <c r="C1291" s="0" t="s">
        <v>2923</v>
      </c>
      <c r="D1291" s="2" t="s">
        <v>27</v>
      </c>
      <c r="E1291" s="0" t="str">
        <f aca="false">VLOOKUP(D1291,Fornitori!$A$2:$C$6,2,FALSE())</f>
        <v>Guarnizioni Alpi</v>
      </c>
      <c r="F1291" s="0" t="n">
        <v>20</v>
      </c>
      <c r="G1291" s="0" t="n">
        <v>21</v>
      </c>
      <c r="H1291" s="0" t="str">
        <f aca="false">IF(F1291&lt;G1291,"SI","NO")</f>
        <v>SI</v>
      </c>
    </row>
    <row r="1292" customFormat="false" ht="15" hidden="false" customHeight="false" outlineLevel="0" collapsed="false">
      <c r="A1292" s="0" t="s">
        <v>3238</v>
      </c>
      <c r="B1292" s="0" t="s">
        <v>3239</v>
      </c>
      <c r="C1292" s="0" t="s">
        <v>1548</v>
      </c>
      <c r="D1292" s="2" t="s">
        <v>11</v>
      </c>
      <c r="E1292" s="0" t="str">
        <f aca="false">VLOOKUP(D1292,Fornitori!$A$2:$C$6,2,FALSE())</f>
        <v>Meccanica Bassi S.r.l.</v>
      </c>
      <c r="F1292" s="0" t="n">
        <v>44</v>
      </c>
      <c r="G1292" s="0" t="n">
        <v>21</v>
      </c>
      <c r="H1292" s="0" t="str">
        <f aca="false">IF(F1292&lt;G1292,"SI","NO")</f>
        <v>NO</v>
      </c>
    </row>
    <row r="1293" customFormat="false" ht="15" hidden="false" customHeight="false" outlineLevel="0" collapsed="false">
      <c r="A1293" s="0" t="s">
        <v>3240</v>
      </c>
      <c r="B1293" s="0" t="s">
        <v>3241</v>
      </c>
      <c r="C1293" s="0" t="s">
        <v>3242</v>
      </c>
      <c r="D1293" s="2" t="s">
        <v>15</v>
      </c>
      <c r="E1293" s="0" t="str">
        <f aca="false">VLOOKUP(D1293,Fornitori!$A$2:$C$6,2,FALSE())</f>
        <v>Rulmeca Italia</v>
      </c>
      <c r="F1293" s="0" t="n">
        <v>37</v>
      </c>
      <c r="G1293" s="0" t="n">
        <v>16</v>
      </c>
      <c r="H1293" s="0" t="str">
        <f aca="false">IF(F1293&lt;G1293,"SI","NO")</f>
        <v>NO</v>
      </c>
    </row>
    <row r="1294" customFormat="false" ht="15" hidden="false" customHeight="false" outlineLevel="0" collapsed="false">
      <c r="A1294" s="0" t="s">
        <v>3243</v>
      </c>
      <c r="B1294" s="0" t="s">
        <v>3244</v>
      </c>
      <c r="C1294" s="0" t="s">
        <v>3245</v>
      </c>
      <c r="D1294" s="2" t="s">
        <v>19</v>
      </c>
      <c r="E1294" s="0" t="str">
        <f aca="false">VLOOKUP(D1294,Fornitori!$A$2:$C$6,2,FALSE())</f>
        <v>Elettrotecnica Ferri</v>
      </c>
      <c r="F1294" s="0" t="n">
        <v>55</v>
      </c>
      <c r="G1294" s="0" t="n">
        <v>14</v>
      </c>
      <c r="H1294" s="0" t="str">
        <f aca="false">IF(F1294&lt;G1294,"SI","NO")</f>
        <v>NO</v>
      </c>
    </row>
    <row r="1295" customFormat="false" ht="15" hidden="false" customHeight="false" outlineLevel="0" collapsed="false">
      <c r="A1295" s="0" t="s">
        <v>3246</v>
      </c>
      <c r="B1295" s="0" t="s">
        <v>3247</v>
      </c>
      <c r="C1295" s="0" t="s">
        <v>853</v>
      </c>
      <c r="D1295" s="2" t="s">
        <v>23</v>
      </c>
      <c r="E1295" s="0" t="str">
        <f aca="false">VLOOKUP(D1295,Fornitori!$A$2:$C$6,2,FALSE())</f>
        <v>Pneumax Service</v>
      </c>
      <c r="F1295" s="0" t="n">
        <v>2</v>
      </c>
      <c r="G1295" s="0" t="n">
        <v>6</v>
      </c>
      <c r="H1295" s="0" t="str">
        <f aca="false">IF(F1295&lt;G1295,"SI","NO")</f>
        <v>SI</v>
      </c>
    </row>
    <row r="1296" customFormat="false" ht="15" hidden="false" customHeight="false" outlineLevel="0" collapsed="false">
      <c r="A1296" s="0" t="s">
        <v>3248</v>
      </c>
      <c r="B1296" s="0" t="s">
        <v>3249</v>
      </c>
      <c r="C1296" s="0" t="s">
        <v>2324</v>
      </c>
      <c r="D1296" s="2" t="s">
        <v>27</v>
      </c>
      <c r="E1296" s="0" t="str">
        <f aca="false">VLOOKUP(D1296,Fornitori!$A$2:$C$6,2,FALSE())</f>
        <v>Guarnizioni Alpi</v>
      </c>
      <c r="F1296" s="0" t="n">
        <v>34</v>
      </c>
      <c r="G1296" s="0" t="n">
        <v>7</v>
      </c>
      <c r="H1296" s="0" t="str">
        <f aca="false">IF(F1296&lt;G1296,"SI","NO")</f>
        <v>NO</v>
      </c>
    </row>
    <row r="1297" customFormat="false" ht="15" hidden="false" customHeight="false" outlineLevel="0" collapsed="false">
      <c r="A1297" s="0" t="s">
        <v>3250</v>
      </c>
      <c r="B1297" s="0" t="s">
        <v>3251</v>
      </c>
      <c r="C1297" s="0" t="s">
        <v>3252</v>
      </c>
      <c r="D1297" s="2" t="s">
        <v>11</v>
      </c>
      <c r="E1297" s="0" t="str">
        <f aca="false">VLOOKUP(D1297,Fornitori!$A$2:$C$6,2,FALSE())</f>
        <v>Meccanica Bassi S.r.l.</v>
      </c>
      <c r="F1297" s="0" t="n">
        <v>43</v>
      </c>
      <c r="G1297" s="0" t="n">
        <v>19</v>
      </c>
      <c r="H1297" s="0" t="str">
        <f aca="false">IF(F1297&lt;G1297,"SI","NO")</f>
        <v>NO</v>
      </c>
    </row>
    <row r="1298" customFormat="false" ht="15" hidden="false" customHeight="false" outlineLevel="0" collapsed="false">
      <c r="A1298" s="0" t="s">
        <v>3253</v>
      </c>
      <c r="B1298" s="0" t="s">
        <v>3254</v>
      </c>
      <c r="C1298" s="0" t="s">
        <v>248</v>
      </c>
      <c r="D1298" s="2" t="s">
        <v>15</v>
      </c>
      <c r="E1298" s="0" t="str">
        <f aca="false">VLOOKUP(D1298,Fornitori!$A$2:$C$6,2,FALSE())</f>
        <v>Rulmeca Italia</v>
      </c>
      <c r="F1298" s="0" t="n">
        <v>46</v>
      </c>
      <c r="G1298" s="0" t="n">
        <v>12</v>
      </c>
      <c r="H1298" s="0" t="str">
        <f aca="false">IF(F1298&lt;G1298,"SI","NO")</f>
        <v>NO</v>
      </c>
    </row>
    <row r="1299" customFormat="false" ht="15" hidden="false" customHeight="false" outlineLevel="0" collapsed="false">
      <c r="A1299" s="0" t="s">
        <v>3255</v>
      </c>
      <c r="B1299" s="0" t="s">
        <v>3081</v>
      </c>
      <c r="C1299" s="0" t="s">
        <v>3256</v>
      </c>
      <c r="D1299" s="2" t="s">
        <v>19</v>
      </c>
      <c r="E1299" s="0" t="str">
        <f aca="false">VLOOKUP(D1299,Fornitori!$A$2:$C$6,2,FALSE())</f>
        <v>Elettrotecnica Ferri</v>
      </c>
      <c r="F1299" s="0" t="n">
        <v>33</v>
      </c>
      <c r="G1299" s="0" t="n">
        <v>23</v>
      </c>
      <c r="H1299" s="0" t="str">
        <f aca="false">IF(F1299&lt;G1299,"SI","NO")</f>
        <v>NO</v>
      </c>
    </row>
    <row r="1300" customFormat="false" ht="15" hidden="false" customHeight="false" outlineLevel="0" collapsed="false">
      <c r="A1300" s="0" t="s">
        <v>3257</v>
      </c>
      <c r="B1300" s="0" t="s">
        <v>3258</v>
      </c>
      <c r="C1300" s="0" t="s">
        <v>3259</v>
      </c>
      <c r="D1300" s="2" t="s">
        <v>23</v>
      </c>
      <c r="E1300" s="0" t="str">
        <f aca="false">VLOOKUP(D1300,Fornitori!$A$2:$C$6,2,FALSE())</f>
        <v>Pneumax Service</v>
      </c>
      <c r="F1300" s="0" t="n">
        <v>50</v>
      </c>
      <c r="G1300" s="0" t="n">
        <v>12</v>
      </c>
      <c r="H1300" s="0" t="str">
        <f aca="false">IF(F1300&lt;G1300,"SI","NO")</f>
        <v>NO</v>
      </c>
    </row>
    <row r="1301" customFormat="false" ht="15" hidden="false" customHeight="false" outlineLevel="0" collapsed="false">
      <c r="A1301" s="0" t="s">
        <v>3260</v>
      </c>
      <c r="B1301" s="0" t="s">
        <v>41</v>
      </c>
      <c r="C1301" s="0" t="s">
        <v>3261</v>
      </c>
      <c r="D1301" s="2" t="s">
        <v>27</v>
      </c>
      <c r="E1301" s="0" t="str">
        <f aca="false">VLOOKUP(D1301,Fornitori!$A$2:$C$6,2,FALSE())</f>
        <v>Guarnizioni Alpi</v>
      </c>
      <c r="F1301" s="0" t="n">
        <v>27</v>
      </c>
      <c r="G1301" s="0" t="n">
        <v>9</v>
      </c>
      <c r="H1301" s="0" t="str">
        <f aca="false">IF(F1301&lt;G1301,"SI","NO")</f>
        <v>NO</v>
      </c>
    </row>
    <row r="1302" customFormat="false" ht="15" hidden="false" customHeight="false" outlineLevel="0" collapsed="false">
      <c r="A1302" s="0" t="s">
        <v>3262</v>
      </c>
      <c r="B1302" s="0" t="s">
        <v>3263</v>
      </c>
      <c r="C1302" s="0" t="s">
        <v>3264</v>
      </c>
      <c r="D1302" s="2" t="s">
        <v>11</v>
      </c>
      <c r="E1302" s="0" t="str">
        <f aca="false">VLOOKUP(D1302,Fornitori!$A$2:$C$6,2,FALSE())</f>
        <v>Meccanica Bassi S.r.l.</v>
      </c>
      <c r="F1302" s="0" t="n">
        <v>45</v>
      </c>
      <c r="G1302" s="0" t="n">
        <v>20</v>
      </c>
      <c r="H1302" s="0" t="str">
        <f aca="false">IF(F1302&lt;G1302,"SI","NO")</f>
        <v>NO</v>
      </c>
    </row>
    <row r="1303" customFormat="false" ht="15" hidden="false" customHeight="false" outlineLevel="0" collapsed="false">
      <c r="A1303" s="0" t="s">
        <v>3265</v>
      </c>
      <c r="B1303" s="0" t="s">
        <v>3266</v>
      </c>
      <c r="C1303" s="0" t="s">
        <v>842</v>
      </c>
      <c r="D1303" s="2" t="s">
        <v>15</v>
      </c>
      <c r="E1303" s="0" t="str">
        <f aca="false">VLOOKUP(D1303,Fornitori!$A$2:$C$6,2,FALSE())</f>
        <v>Rulmeca Italia</v>
      </c>
      <c r="F1303" s="0" t="n">
        <v>53</v>
      </c>
      <c r="G1303" s="0" t="n">
        <v>17</v>
      </c>
      <c r="H1303" s="0" t="str">
        <f aca="false">IF(F1303&lt;G1303,"SI","NO")</f>
        <v>NO</v>
      </c>
    </row>
    <row r="1304" customFormat="false" ht="15" hidden="false" customHeight="false" outlineLevel="0" collapsed="false">
      <c r="A1304" s="0" t="s">
        <v>3267</v>
      </c>
      <c r="B1304" s="0" t="s">
        <v>3268</v>
      </c>
      <c r="C1304" s="0" t="s">
        <v>3269</v>
      </c>
      <c r="D1304" s="2" t="s">
        <v>19</v>
      </c>
      <c r="E1304" s="0" t="str">
        <f aca="false">VLOOKUP(D1304,Fornitori!$A$2:$C$6,2,FALSE())</f>
        <v>Elettrotecnica Ferri</v>
      </c>
      <c r="F1304" s="0" t="n">
        <v>2</v>
      </c>
      <c r="G1304" s="0" t="n">
        <v>8</v>
      </c>
      <c r="H1304" s="0" t="str">
        <f aca="false">IF(F1304&lt;G1304,"SI","NO")</f>
        <v>SI</v>
      </c>
    </row>
    <row r="1305" customFormat="false" ht="15" hidden="false" customHeight="false" outlineLevel="0" collapsed="false">
      <c r="A1305" s="0" t="s">
        <v>3270</v>
      </c>
      <c r="B1305" s="0" t="s">
        <v>2155</v>
      </c>
      <c r="C1305" s="0" t="s">
        <v>1848</v>
      </c>
      <c r="D1305" s="2" t="s">
        <v>23</v>
      </c>
      <c r="E1305" s="0" t="str">
        <f aca="false">VLOOKUP(D1305,Fornitori!$A$2:$C$6,2,FALSE())</f>
        <v>Pneumax Service</v>
      </c>
      <c r="F1305" s="0" t="n">
        <v>20</v>
      </c>
      <c r="G1305" s="0" t="n">
        <v>12</v>
      </c>
      <c r="H1305" s="0" t="str">
        <f aca="false">IF(F1305&lt;G1305,"SI","NO")</f>
        <v>NO</v>
      </c>
    </row>
    <row r="1306" customFormat="false" ht="15" hidden="false" customHeight="false" outlineLevel="0" collapsed="false">
      <c r="A1306" s="0" t="s">
        <v>3271</v>
      </c>
      <c r="B1306" s="0" t="s">
        <v>3272</v>
      </c>
      <c r="C1306" s="0" t="s">
        <v>2121</v>
      </c>
      <c r="D1306" s="2" t="s">
        <v>27</v>
      </c>
      <c r="E1306" s="0" t="str">
        <f aca="false">VLOOKUP(D1306,Fornitori!$A$2:$C$6,2,FALSE())</f>
        <v>Guarnizioni Alpi</v>
      </c>
      <c r="F1306" s="0" t="n">
        <v>28</v>
      </c>
      <c r="G1306" s="0" t="n">
        <v>22</v>
      </c>
      <c r="H1306" s="0" t="str">
        <f aca="false">IF(F1306&lt;G1306,"SI","NO")</f>
        <v>NO</v>
      </c>
    </row>
    <row r="1307" customFormat="false" ht="15" hidden="false" customHeight="false" outlineLevel="0" collapsed="false">
      <c r="A1307" s="0" t="s">
        <v>3273</v>
      </c>
      <c r="B1307" s="0" t="s">
        <v>3274</v>
      </c>
      <c r="C1307" s="0" t="s">
        <v>3170</v>
      </c>
      <c r="D1307" s="2" t="s">
        <v>11</v>
      </c>
      <c r="E1307" s="0" t="str">
        <f aca="false">VLOOKUP(D1307,Fornitori!$A$2:$C$6,2,FALSE())</f>
        <v>Meccanica Bassi S.r.l.</v>
      </c>
      <c r="F1307" s="0" t="n">
        <v>34</v>
      </c>
      <c r="G1307" s="0" t="n">
        <v>16</v>
      </c>
      <c r="H1307" s="0" t="str">
        <f aca="false">IF(F1307&lt;G1307,"SI","NO")</f>
        <v>NO</v>
      </c>
    </row>
    <row r="1308" customFormat="false" ht="15" hidden="false" customHeight="false" outlineLevel="0" collapsed="false">
      <c r="A1308" s="0" t="s">
        <v>3275</v>
      </c>
      <c r="B1308" s="0" t="s">
        <v>1559</v>
      </c>
      <c r="C1308" s="0" t="s">
        <v>3141</v>
      </c>
      <c r="D1308" s="2" t="s">
        <v>15</v>
      </c>
      <c r="E1308" s="0" t="str">
        <f aca="false">VLOOKUP(D1308,Fornitori!$A$2:$C$6,2,FALSE())</f>
        <v>Rulmeca Italia</v>
      </c>
      <c r="F1308" s="0" t="n">
        <v>7</v>
      </c>
      <c r="G1308" s="0" t="n">
        <v>21</v>
      </c>
      <c r="H1308" s="0" t="str">
        <f aca="false">IF(F1308&lt;G1308,"SI","NO")</f>
        <v>SI</v>
      </c>
    </row>
    <row r="1309" customFormat="false" ht="15" hidden="false" customHeight="false" outlineLevel="0" collapsed="false">
      <c r="A1309" s="0" t="s">
        <v>3276</v>
      </c>
      <c r="B1309" s="0" t="s">
        <v>3277</v>
      </c>
      <c r="C1309" s="0" t="s">
        <v>212</v>
      </c>
      <c r="D1309" s="2" t="s">
        <v>19</v>
      </c>
      <c r="E1309" s="0" t="str">
        <f aca="false">VLOOKUP(D1309,Fornitori!$A$2:$C$6,2,FALSE())</f>
        <v>Elettrotecnica Ferri</v>
      </c>
      <c r="F1309" s="0" t="n">
        <v>13</v>
      </c>
      <c r="G1309" s="0" t="n">
        <v>12</v>
      </c>
      <c r="H1309" s="0" t="str">
        <f aca="false">IF(F1309&lt;G1309,"SI","NO")</f>
        <v>NO</v>
      </c>
    </row>
    <row r="1310" customFormat="false" ht="15" hidden="false" customHeight="false" outlineLevel="0" collapsed="false">
      <c r="A1310" s="0" t="s">
        <v>3278</v>
      </c>
      <c r="B1310" s="0" t="s">
        <v>1807</v>
      </c>
      <c r="C1310" s="0" t="s">
        <v>1075</v>
      </c>
      <c r="D1310" s="2" t="s">
        <v>23</v>
      </c>
      <c r="E1310" s="0" t="str">
        <f aca="false">VLOOKUP(D1310,Fornitori!$A$2:$C$6,2,FALSE())</f>
        <v>Pneumax Service</v>
      </c>
      <c r="F1310" s="0" t="n">
        <v>25</v>
      </c>
      <c r="G1310" s="0" t="n">
        <v>13</v>
      </c>
      <c r="H1310" s="0" t="str">
        <f aca="false">IF(F1310&lt;G1310,"SI","NO")</f>
        <v>NO</v>
      </c>
    </row>
    <row r="1311" customFormat="false" ht="15" hidden="false" customHeight="false" outlineLevel="0" collapsed="false">
      <c r="A1311" s="0" t="s">
        <v>3279</v>
      </c>
      <c r="B1311" s="0" t="s">
        <v>1641</v>
      </c>
      <c r="C1311" s="0" t="s">
        <v>2509</v>
      </c>
      <c r="D1311" s="2" t="s">
        <v>27</v>
      </c>
      <c r="E1311" s="0" t="str">
        <f aca="false">VLOOKUP(D1311,Fornitori!$A$2:$C$6,2,FALSE())</f>
        <v>Guarnizioni Alpi</v>
      </c>
      <c r="F1311" s="0" t="n">
        <v>19</v>
      </c>
      <c r="G1311" s="0" t="n">
        <v>22</v>
      </c>
      <c r="H1311" s="0" t="str">
        <f aca="false">IF(F1311&lt;G1311,"SI","NO")</f>
        <v>SI</v>
      </c>
    </row>
    <row r="1312" customFormat="false" ht="15" hidden="false" customHeight="false" outlineLevel="0" collapsed="false">
      <c r="A1312" s="0" t="s">
        <v>3280</v>
      </c>
      <c r="B1312" s="0" t="s">
        <v>570</v>
      </c>
      <c r="C1312" s="0" t="s">
        <v>3281</v>
      </c>
      <c r="D1312" s="2" t="s">
        <v>11</v>
      </c>
      <c r="E1312" s="0" t="str">
        <f aca="false">VLOOKUP(D1312,Fornitori!$A$2:$C$6,2,FALSE())</f>
        <v>Meccanica Bassi S.r.l.</v>
      </c>
      <c r="F1312" s="0" t="n">
        <v>44</v>
      </c>
      <c r="G1312" s="0" t="n">
        <v>10</v>
      </c>
      <c r="H1312" s="0" t="str">
        <f aca="false">IF(F1312&lt;G1312,"SI","NO")</f>
        <v>NO</v>
      </c>
    </row>
    <row r="1313" customFormat="false" ht="15" hidden="false" customHeight="false" outlineLevel="0" collapsed="false">
      <c r="A1313" s="0" t="s">
        <v>3282</v>
      </c>
      <c r="B1313" s="0" t="s">
        <v>1671</v>
      </c>
      <c r="C1313" s="0" t="s">
        <v>313</v>
      </c>
      <c r="D1313" s="2" t="s">
        <v>15</v>
      </c>
      <c r="E1313" s="0" t="str">
        <f aca="false">VLOOKUP(D1313,Fornitori!$A$2:$C$6,2,FALSE())</f>
        <v>Rulmeca Italia</v>
      </c>
      <c r="F1313" s="0" t="n">
        <v>2</v>
      </c>
      <c r="G1313" s="0" t="n">
        <v>8</v>
      </c>
      <c r="H1313" s="0" t="str">
        <f aca="false">IF(F1313&lt;G1313,"SI","NO")</f>
        <v>SI</v>
      </c>
    </row>
    <row r="1314" customFormat="false" ht="15" hidden="false" customHeight="false" outlineLevel="0" collapsed="false">
      <c r="A1314" s="0" t="s">
        <v>3283</v>
      </c>
      <c r="B1314" s="0" t="s">
        <v>3158</v>
      </c>
      <c r="C1314" s="0" t="s">
        <v>813</v>
      </c>
      <c r="D1314" s="2" t="s">
        <v>19</v>
      </c>
      <c r="E1314" s="0" t="str">
        <f aca="false">VLOOKUP(D1314,Fornitori!$A$2:$C$6,2,FALSE())</f>
        <v>Elettrotecnica Ferri</v>
      </c>
      <c r="F1314" s="0" t="n">
        <v>55</v>
      </c>
      <c r="G1314" s="0" t="n">
        <v>21</v>
      </c>
      <c r="H1314" s="0" t="str">
        <f aca="false">IF(F1314&lt;G1314,"SI","NO")</f>
        <v>NO</v>
      </c>
    </row>
    <row r="1315" customFormat="false" ht="15" hidden="false" customHeight="false" outlineLevel="0" collapsed="false">
      <c r="A1315" s="0" t="s">
        <v>3284</v>
      </c>
      <c r="B1315" s="0" t="s">
        <v>3285</v>
      </c>
      <c r="C1315" s="0" t="s">
        <v>2990</v>
      </c>
      <c r="D1315" s="2" t="s">
        <v>23</v>
      </c>
      <c r="E1315" s="0" t="str">
        <f aca="false">VLOOKUP(D1315,Fornitori!$A$2:$C$6,2,FALSE())</f>
        <v>Pneumax Service</v>
      </c>
      <c r="F1315" s="0" t="n">
        <v>23</v>
      </c>
      <c r="G1315" s="0" t="n">
        <v>24</v>
      </c>
      <c r="H1315" s="0" t="str">
        <f aca="false">IF(F1315&lt;G1315,"SI","NO")</f>
        <v>SI</v>
      </c>
    </row>
    <row r="1316" customFormat="false" ht="15" hidden="false" customHeight="false" outlineLevel="0" collapsed="false">
      <c r="A1316" s="0" t="s">
        <v>3286</v>
      </c>
      <c r="B1316" s="0" t="s">
        <v>3287</v>
      </c>
      <c r="C1316" s="0" t="s">
        <v>3288</v>
      </c>
      <c r="D1316" s="2" t="s">
        <v>27</v>
      </c>
      <c r="E1316" s="0" t="str">
        <f aca="false">VLOOKUP(D1316,Fornitori!$A$2:$C$6,2,FALSE())</f>
        <v>Guarnizioni Alpi</v>
      </c>
      <c r="F1316" s="0" t="n">
        <v>58</v>
      </c>
      <c r="G1316" s="0" t="n">
        <v>16</v>
      </c>
      <c r="H1316" s="0" t="str">
        <f aca="false">IF(F1316&lt;G1316,"SI","NO")</f>
        <v>NO</v>
      </c>
    </row>
    <row r="1317" customFormat="false" ht="15" hidden="false" customHeight="false" outlineLevel="0" collapsed="false">
      <c r="A1317" s="0" t="s">
        <v>3289</v>
      </c>
      <c r="B1317" s="0" t="s">
        <v>2347</v>
      </c>
      <c r="C1317" s="0" t="s">
        <v>1443</v>
      </c>
      <c r="D1317" s="2" t="s">
        <v>11</v>
      </c>
      <c r="E1317" s="0" t="str">
        <f aca="false">VLOOKUP(D1317,Fornitori!$A$2:$C$6,2,FALSE())</f>
        <v>Meccanica Bassi S.r.l.</v>
      </c>
      <c r="F1317" s="0" t="n">
        <v>58</v>
      </c>
      <c r="G1317" s="0" t="n">
        <v>15</v>
      </c>
      <c r="H1317" s="0" t="str">
        <f aca="false">IF(F1317&lt;G1317,"SI","NO")</f>
        <v>NO</v>
      </c>
    </row>
    <row r="1318" customFormat="false" ht="15" hidden="false" customHeight="false" outlineLevel="0" collapsed="false">
      <c r="A1318" s="0" t="s">
        <v>3290</v>
      </c>
      <c r="B1318" s="0" t="s">
        <v>3291</v>
      </c>
      <c r="C1318" s="0" t="s">
        <v>33</v>
      </c>
      <c r="D1318" s="2" t="s">
        <v>15</v>
      </c>
      <c r="E1318" s="0" t="str">
        <f aca="false">VLOOKUP(D1318,Fornitori!$A$2:$C$6,2,FALSE())</f>
        <v>Rulmeca Italia</v>
      </c>
      <c r="F1318" s="0" t="n">
        <v>54</v>
      </c>
      <c r="G1318" s="0" t="n">
        <v>7</v>
      </c>
      <c r="H1318" s="0" t="str">
        <f aca="false">IF(F1318&lt;G1318,"SI","NO")</f>
        <v>NO</v>
      </c>
    </row>
    <row r="1319" customFormat="false" ht="15" hidden="false" customHeight="false" outlineLevel="0" collapsed="false">
      <c r="A1319" s="0" t="s">
        <v>3292</v>
      </c>
      <c r="B1319" s="0" t="s">
        <v>3293</v>
      </c>
      <c r="C1319" s="0" t="s">
        <v>3294</v>
      </c>
      <c r="D1319" s="2" t="s">
        <v>19</v>
      </c>
      <c r="E1319" s="0" t="str">
        <f aca="false">VLOOKUP(D1319,Fornitori!$A$2:$C$6,2,FALSE())</f>
        <v>Elettrotecnica Ferri</v>
      </c>
      <c r="F1319" s="0" t="n">
        <v>6</v>
      </c>
      <c r="G1319" s="0" t="n">
        <v>5</v>
      </c>
      <c r="H1319" s="0" t="str">
        <f aca="false">IF(F1319&lt;G1319,"SI","NO")</f>
        <v>NO</v>
      </c>
    </row>
    <row r="1320" customFormat="false" ht="15" hidden="false" customHeight="false" outlineLevel="0" collapsed="false">
      <c r="A1320" s="0" t="s">
        <v>3295</v>
      </c>
      <c r="B1320" s="0" t="s">
        <v>3296</v>
      </c>
      <c r="C1320" s="0" t="s">
        <v>72</v>
      </c>
      <c r="D1320" s="2" t="s">
        <v>23</v>
      </c>
      <c r="E1320" s="0" t="str">
        <f aca="false">VLOOKUP(D1320,Fornitori!$A$2:$C$6,2,FALSE())</f>
        <v>Pneumax Service</v>
      </c>
      <c r="F1320" s="0" t="n">
        <v>21</v>
      </c>
      <c r="G1320" s="0" t="n">
        <v>13</v>
      </c>
      <c r="H1320" s="0" t="str">
        <f aca="false">IF(F1320&lt;G1320,"SI","NO")</f>
        <v>NO</v>
      </c>
    </row>
    <row r="1321" customFormat="false" ht="15" hidden="false" customHeight="false" outlineLevel="0" collapsed="false">
      <c r="A1321" s="0" t="s">
        <v>3297</v>
      </c>
      <c r="B1321" s="0" t="s">
        <v>3298</v>
      </c>
      <c r="C1321" s="0" t="s">
        <v>1104</v>
      </c>
      <c r="D1321" s="2" t="s">
        <v>27</v>
      </c>
      <c r="E1321" s="0" t="str">
        <f aca="false">VLOOKUP(D1321,Fornitori!$A$2:$C$6,2,FALSE())</f>
        <v>Guarnizioni Alpi</v>
      </c>
      <c r="F1321" s="0" t="n">
        <v>41</v>
      </c>
      <c r="G1321" s="0" t="n">
        <v>16</v>
      </c>
      <c r="H1321" s="0" t="str">
        <f aca="false">IF(F1321&lt;G1321,"SI","NO")</f>
        <v>NO</v>
      </c>
    </row>
    <row r="1322" customFormat="false" ht="15" hidden="false" customHeight="false" outlineLevel="0" collapsed="false">
      <c r="A1322" s="0" t="s">
        <v>3299</v>
      </c>
      <c r="B1322" s="0" t="s">
        <v>44</v>
      </c>
      <c r="C1322" s="0" t="s">
        <v>72</v>
      </c>
      <c r="D1322" s="2" t="s">
        <v>11</v>
      </c>
      <c r="E1322" s="0" t="str">
        <f aca="false">VLOOKUP(D1322,Fornitori!$A$2:$C$6,2,FALSE())</f>
        <v>Meccanica Bassi S.r.l.</v>
      </c>
      <c r="F1322" s="0" t="n">
        <v>58</v>
      </c>
      <c r="G1322" s="0" t="n">
        <v>5</v>
      </c>
      <c r="H1322" s="0" t="str">
        <f aca="false">IF(F1322&lt;G1322,"SI","NO")</f>
        <v>NO</v>
      </c>
    </row>
    <row r="1323" customFormat="false" ht="15" hidden="false" customHeight="false" outlineLevel="0" collapsed="false">
      <c r="A1323" s="0" t="s">
        <v>3300</v>
      </c>
      <c r="B1323" s="0" t="s">
        <v>3301</v>
      </c>
      <c r="C1323" s="0" t="s">
        <v>2738</v>
      </c>
      <c r="D1323" s="2" t="s">
        <v>15</v>
      </c>
      <c r="E1323" s="0" t="str">
        <f aca="false">VLOOKUP(D1323,Fornitori!$A$2:$C$6,2,FALSE())</f>
        <v>Rulmeca Italia</v>
      </c>
      <c r="F1323" s="0" t="n">
        <v>1</v>
      </c>
      <c r="G1323" s="0" t="n">
        <v>16</v>
      </c>
      <c r="H1323" s="0" t="str">
        <f aca="false">IF(F1323&lt;G1323,"SI","NO")</f>
        <v>SI</v>
      </c>
    </row>
    <row r="1324" customFormat="false" ht="15" hidden="false" customHeight="false" outlineLevel="0" collapsed="false">
      <c r="A1324" s="0" t="s">
        <v>3302</v>
      </c>
      <c r="B1324" s="0" t="s">
        <v>315</v>
      </c>
      <c r="C1324" s="0" t="s">
        <v>1134</v>
      </c>
      <c r="D1324" s="2" t="s">
        <v>19</v>
      </c>
      <c r="E1324" s="0" t="str">
        <f aca="false">VLOOKUP(D1324,Fornitori!$A$2:$C$6,2,FALSE())</f>
        <v>Elettrotecnica Ferri</v>
      </c>
      <c r="F1324" s="0" t="n">
        <v>45</v>
      </c>
      <c r="G1324" s="0" t="n">
        <v>21</v>
      </c>
      <c r="H1324" s="0" t="str">
        <f aca="false">IF(F1324&lt;G1324,"SI","NO")</f>
        <v>NO</v>
      </c>
    </row>
    <row r="1325" customFormat="false" ht="15" hidden="false" customHeight="false" outlineLevel="0" collapsed="false">
      <c r="A1325" s="0" t="s">
        <v>3303</v>
      </c>
      <c r="B1325" s="0" t="s">
        <v>3304</v>
      </c>
      <c r="C1325" s="0" t="s">
        <v>3305</v>
      </c>
      <c r="D1325" s="2" t="s">
        <v>23</v>
      </c>
      <c r="E1325" s="0" t="str">
        <f aca="false">VLOOKUP(D1325,Fornitori!$A$2:$C$6,2,FALSE())</f>
        <v>Pneumax Service</v>
      </c>
      <c r="F1325" s="0" t="n">
        <v>44</v>
      </c>
      <c r="G1325" s="0" t="n">
        <v>13</v>
      </c>
      <c r="H1325" s="0" t="str">
        <f aca="false">IF(F1325&lt;G1325,"SI","NO")</f>
        <v>NO</v>
      </c>
    </row>
    <row r="1326" customFormat="false" ht="15" hidden="false" customHeight="false" outlineLevel="0" collapsed="false">
      <c r="A1326" s="0" t="s">
        <v>3306</v>
      </c>
      <c r="B1326" s="0" t="s">
        <v>2951</v>
      </c>
      <c r="C1326" s="0" t="s">
        <v>588</v>
      </c>
      <c r="D1326" s="2" t="s">
        <v>27</v>
      </c>
      <c r="E1326" s="0" t="str">
        <f aca="false">VLOOKUP(D1326,Fornitori!$A$2:$C$6,2,FALSE())</f>
        <v>Guarnizioni Alpi</v>
      </c>
      <c r="F1326" s="0" t="n">
        <v>50</v>
      </c>
      <c r="G1326" s="0" t="n">
        <v>19</v>
      </c>
      <c r="H1326" s="0" t="str">
        <f aca="false">IF(F1326&lt;G1326,"SI","NO")</f>
        <v>NO</v>
      </c>
    </row>
    <row r="1327" customFormat="false" ht="15" hidden="false" customHeight="false" outlineLevel="0" collapsed="false">
      <c r="A1327" s="0" t="s">
        <v>3307</v>
      </c>
      <c r="B1327" s="0" t="s">
        <v>3308</v>
      </c>
      <c r="C1327" s="0" t="s">
        <v>3309</v>
      </c>
      <c r="D1327" s="2" t="s">
        <v>11</v>
      </c>
      <c r="E1327" s="0" t="str">
        <f aca="false">VLOOKUP(D1327,Fornitori!$A$2:$C$6,2,FALSE())</f>
        <v>Meccanica Bassi S.r.l.</v>
      </c>
      <c r="F1327" s="0" t="n">
        <v>51</v>
      </c>
      <c r="G1327" s="0" t="n">
        <v>13</v>
      </c>
      <c r="H1327" s="0" t="str">
        <f aca="false">IF(F1327&lt;G1327,"SI","NO")</f>
        <v>NO</v>
      </c>
    </row>
    <row r="1328" customFormat="false" ht="15" hidden="false" customHeight="false" outlineLevel="0" collapsed="false">
      <c r="A1328" s="0" t="s">
        <v>3310</v>
      </c>
      <c r="B1328" s="0" t="s">
        <v>3311</v>
      </c>
      <c r="C1328" s="0" t="s">
        <v>2911</v>
      </c>
      <c r="D1328" s="2" t="s">
        <v>15</v>
      </c>
      <c r="E1328" s="0" t="str">
        <f aca="false">VLOOKUP(D1328,Fornitori!$A$2:$C$6,2,FALSE())</f>
        <v>Rulmeca Italia</v>
      </c>
      <c r="F1328" s="0" t="n">
        <v>35</v>
      </c>
      <c r="G1328" s="0" t="n">
        <v>23</v>
      </c>
      <c r="H1328" s="0" t="str">
        <f aca="false">IF(F1328&lt;G1328,"SI","NO")</f>
        <v>NO</v>
      </c>
    </row>
    <row r="1329" customFormat="false" ht="15" hidden="false" customHeight="false" outlineLevel="0" collapsed="false">
      <c r="A1329" s="0" t="s">
        <v>3312</v>
      </c>
      <c r="B1329" s="0" t="s">
        <v>3313</v>
      </c>
      <c r="C1329" s="0" t="s">
        <v>651</v>
      </c>
      <c r="D1329" s="2" t="s">
        <v>19</v>
      </c>
      <c r="E1329" s="0" t="str">
        <f aca="false">VLOOKUP(D1329,Fornitori!$A$2:$C$6,2,FALSE())</f>
        <v>Elettrotecnica Ferri</v>
      </c>
      <c r="F1329" s="0" t="n">
        <v>54</v>
      </c>
      <c r="G1329" s="0" t="n">
        <v>23</v>
      </c>
      <c r="H1329" s="0" t="str">
        <f aca="false">IF(F1329&lt;G1329,"SI","NO")</f>
        <v>NO</v>
      </c>
    </row>
    <row r="1330" customFormat="false" ht="15" hidden="false" customHeight="false" outlineLevel="0" collapsed="false">
      <c r="A1330" s="0" t="s">
        <v>3314</v>
      </c>
      <c r="B1330" s="0" t="s">
        <v>3315</v>
      </c>
      <c r="C1330" s="0" t="s">
        <v>2773</v>
      </c>
      <c r="D1330" s="2" t="s">
        <v>23</v>
      </c>
      <c r="E1330" s="0" t="str">
        <f aca="false">VLOOKUP(D1330,Fornitori!$A$2:$C$6,2,FALSE())</f>
        <v>Pneumax Service</v>
      </c>
      <c r="F1330" s="0" t="n">
        <v>26</v>
      </c>
      <c r="G1330" s="0" t="n">
        <v>18</v>
      </c>
      <c r="H1330" s="0" t="str">
        <f aca="false">IF(F1330&lt;G1330,"SI","NO")</f>
        <v>NO</v>
      </c>
    </row>
    <row r="1331" customFormat="false" ht="15" hidden="false" customHeight="false" outlineLevel="0" collapsed="false">
      <c r="A1331" s="0" t="s">
        <v>3316</v>
      </c>
      <c r="B1331" s="0" t="s">
        <v>3317</v>
      </c>
      <c r="C1331" s="0" t="s">
        <v>3318</v>
      </c>
      <c r="D1331" s="2" t="s">
        <v>27</v>
      </c>
      <c r="E1331" s="0" t="str">
        <f aca="false">VLOOKUP(D1331,Fornitori!$A$2:$C$6,2,FALSE())</f>
        <v>Guarnizioni Alpi</v>
      </c>
      <c r="F1331" s="0" t="n">
        <v>5</v>
      </c>
      <c r="G1331" s="0" t="n">
        <v>22</v>
      </c>
      <c r="H1331" s="0" t="str">
        <f aca="false">IF(F1331&lt;G1331,"SI","NO")</f>
        <v>SI</v>
      </c>
    </row>
    <row r="1332" customFormat="false" ht="15" hidden="false" customHeight="false" outlineLevel="0" collapsed="false">
      <c r="A1332" s="0" t="s">
        <v>3319</v>
      </c>
      <c r="B1332" s="0" t="s">
        <v>3320</v>
      </c>
      <c r="C1332" s="0" t="s">
        <v>3173</v>
      </c>
      <c r="D1332" s="2" t="s">
        <v>11</v>
      </c>
      <c r="E1332" s="0" t="str">
        <f aca="false">VLOOKUP(D1332,Fornitori!$A$2:$C$6,2,FALSE())</f>
        <v>Meccanica Bassi S.r.l.</v>
      </c>
      <c r="F1332" s="0" t="n">
        <v>37</v>
      </c>
      <c r="G1332" s="0" t="n">
        <v>10</v>
      </c>
      <c r="H1332" s="0" t="str">
        <f aca="false">IF(F1332&lt;G1332,"SI","NO")</f>
        <v>NO</v>
      </c>
    </row>
    <row r="1333" customFormat="false" ht="15" hidden="false" customHeight="false" outlineLevel="0" collapsed="false">
      <c r="A1333" s="0" t="s">
        <v>3321</v>
      </c>
      <c r="B1333" s="0" t="s">
        <v>3322</v>
      </c>
      <c r="C1333" s="0" t="s">
        <v>1593</v>
      </c>
      <c r="D1333" s="2" t="s">
        <v>15</v>
      </c>
      <c r="E1333" s="0" t="str">
        <f aca="false">VLOOKUP(D1333,Fornitori!$A$2:$C$6,2,FALSE())</f>
        <v>Rulmeca Italia</v>
      </c>
      <c r="F1333" s="0" t="n">
        <v>3</v>
      </c>
      <c r="G1333" s="0" t="n">
        <v>18</v>
      </c>
      <c r="H1333" s="0" t="str">
        <f aca="false">IF(F1333&lt;G1333,"SI","NO")</f>
        <v>SI</v>
      </c>
    </row>
    <row r="1334" customFormat="false" ht="15" hidden="false" customHeight="false" outlineLevel="0" collapsed="false">
      <c r="A1334" s="0" t="s">
        <v>3323</v>
      </c>
      <c r="B1334" s="0" t="s">
        <v>3324</v>
      </c>
      <c r="C1334" s="0" t="s">
        <v>1414</v>
      </c>
      <c r="D1334" s="2" t="s">
        <v>19</v>
      </c>
      <c r="E1334" s="0" t="str">
        <f aca="false">VLOOKUP(D1334,Fornitori!$A$2:$C$6,2,FALSE())</f>
        <v>Elettrotecnica Ferri</v>
      </c>
      <c r="F1334" s="0" t="n">
        <v>28</v>
      </c>
      <c r="G1334" s="0" t="n">
        <v>11</v>
      </c>
      <c r="H1334" s="0" t="str">
        <f aca="false">IF(F1334&lt;G1334,"SI","NO")</f>
        <v>NO</v>
      </c>
    </row>
    <row r="1335" customFormat="false" ht="15" hidden="false" customHeight="false" outlineLevel="0" collapsed="false">
      <c r="A1335" s="0" t="s">
        <v>3325</v>
      </c>
      <c r="B1335" s="0" t="s">
        <v>3326</v>
      </c>
      <c r="C1335" s="0" t="s">
        <v>1069</v>
      </c>
      <c r="D1335" s="2" t="s">
        <v>23</v>
      </c>
      <c r="E1335" s="0" t="str">
        <f aca="false">VLOOKUP(D1335,Fornitori!$A$2:$C$6,2,FALSE())</f>
        <v>Pneumax Service</v>
      </c>
      <c r="F1335" s="0" t="n">
        <v>14</v>
      </c>
      <c r="G1335" s="0" t="n">
        <v>8</v>
      </c>
      <c r="H1335" s="0" t="str">
        <f aca="false">IF(F1335&lt;G1335,"SI","NO")</f>
        <v>NO</v>
      </c>
    </row>
    <row r="1336" customFormat="false" ht="15" hidden="false" customHeight="false" outlineLevel="0" collapsed="false">
      <c r="A1336" s="0" t="s">
        <v>3327</v>
      </c>
      <c r="B1336" s="0" t="s">
        <v>1678</v>
      </c>
      <c r="C1336" s="0" t="s">
        <v>1297</v>
      </c>
      <c r="D1336" s="2" t="s">
        <v>27</v>
      </c>
      <c r="E1336" s="0" t="str">
        <f aca="false">VLOOKUP(D1336,Fornitori!$A$2:$C$6,2,FALSE())</f>
        <v>Guarnizioni Alpi</v>
      </c>
      <c r="F1336" s="0" t="n">
        <v>20</v>
      </c>
      <c r="G1336" s="0" t="n">
        <v>20</v>
      </c>
      <c r="H1336" s="0" t="str">
        <f aca="false">IF(F1336&lt;G1336,"SI","NO")</f>
        <v>NO</v>
      </c>
    </row>
    <row r="1337" customFormat="false" ht="15" hidden="false" customHeight="false" outlineLevel="0" collapsed="false">
      <c r="A1337" s="0" t="s">
        <v>3328</v>
      </c>
      <c r="B1337" s="0" t="s">
        <v>3329</v>
      </c>
      <c r="C1337" s="0" t="s">
        <v>108</v>
      </c>
      <c r="D1337" s="2" t="s">
        <v>11</v>
      </c>
      <c r="E1337" s="0" t="str">
        <f aca="false">VLOOKUP(D1337,Fornitori!$A$2:$C$6,2,FALSE())</f>
        <v>Meccanica Bassi S.r.l.</v>
      </c>
      <c r="F1337" s="0" t="n">
        <v>20</v>
      </c>
      <c r="G1337" s="0" t="n">
        <v>17</v>
      </c>
      <c r="H1337" s="0" t="str">
        <f aca="false">IF(F1337&lt;G1337,"SI","NO")</f>
        <v>NO</v>
      </c>
    </row>
    <row r="1338" customFormat="false" ht="15" hidden="false" customHeight="false" outlineLevel="0" collapsed="false">
      <c r="A1338" s="0" t="s">
        <v>3330</v>
      </c>
      <c r="B1338" s="0" t="s">
        <v>1709</v>
      </c>
      <c r="C1338" s="0" t="s">
        <v>699</v>
      </c>
      <c r="D1338" s="2" t="s">
        <v>15</v>
      </c>
      <c r="E1338" s="0" t="str">
        <f aca="false">VLOOKUP(D1338,Fornitori!$A$2:$C$6,2,FALSE())</f>
        <v>Rulmeca Italia</v>
      </c>
      <c r="F1338" s="0" t="n">
        <v>6</v>
      </c>
      <c r="G1338" s="0" t="n">
        <v>19</v>
      </c>
      <c r="H1338" s="0" t="str">
        <f aca="false">IF(F1338&lt;G1338,"SI","NO")</f>
        <v>SI</v>
      </c>
    </row>
    <row r="1339" customFormat="false" ht="15" hidden="false" customHeight="false" outlineLevel="0" collapsed="false">
      <c r="A1339" s="0" t="s">
        <v>3331</v>
      </c>
      <c r="B1339" s="0" t="s">
        <v>2913</v>
      </c>
      <c r="C1339" s="0" t="s">
        <v>3332</v>
      </c>
      <c r="D1339" s="2" t="s">
        <v>19</v>
      </c>
      <c r="E1339" s="0" t="str">
        <f aca="false">VLOOKUP(D1339,Fornitori!$A$2:$C$6,2,FALSE())</f>
        <v>Elettrotecnica Ferri</v>
      </c>
      <c r="F1339" s="0" t="n">
        <v>42</v>
      </c>
      <c r="G1339" s="0" t="n">
        <v>16</v>
      </c>
      <c r="H1339" s="0" t="str">
        <f aca="false">IF(F1339&lt;G1339,"SI","NO")</f>
        <v>NO</v>
      </c>
    </row>
    <row r="1340" customFormat="false" ht="15" hidden="false" customHeight="false" outlineLevel="0" collapsed="false">
      <c r="A1340" s="0" t="s">
        <v>3333</v>
      </c>
      <c r="B1340" s="0" t="s">
        <v>3334</v>
      </c>
      <c r="C1340" s="0" t="s">
        <v>3098</v>
      </c>
      <c r="D1340" s="2" t="s">
        <v>23</v>
      </c>
      <c r="E1340" s="0" t="str">
        <f aca="false">VLOOKUP(D1340,Fornitori!$A$2:$C$6,2,FALSE())</f>
        <v>Pneumax Service</v>
      </c>
      <c r="F1340" s="0" t="n">
        <v>24</v>
      </c>
      <c r="G1340" s="0" t="n">
        <v>9</v>
      </c>
      <c r="H1340" s="0" t="str">
        <f aca="false">IF(F1340&lt;G1340,"SI","NO")</f>
        <v>NO</v>
      </c>
    </row>
    <row r="1341" customFormat="false" ht="15" hidden="false" customHeight="false" outlineLevel="0" collapsed="false">
      <c r="A1341" s="0" t="s">
        <v>3335</v>
      </c>
      <c r="B1341" s="0" t="s">
        <v>1861</v>
      </c>
      <c r="C1341" s="0" t="s">
        <v>3336</v>
      </c>
      <c r="D1341" s="2" t="s">
        <v>27</v>
      </c>
      <c r="E1341" s="0" t="str">
        <f aca="false">VLOOKUP(D1341,Fornitori!$A$2:$C$6,2,FALSE())</f>
        <v>Guarnizioni Alpi</v>
      </c>
      <c r="F1341" s="0" t="n">
        <v>35</v>
      </c>
      <c r="G1341" s="0" t="n">
        <v>8</v>
      </c>
      <c r="H1341" s="0" t="str">
        <f aca="false">IF(F1341&lt;G1341,"SI","NO")</f>
        <v>NO</v>
      </c>
    </row>
    <row r="1342" customFormat="false" ht="15" hidden="false" customHeight="false" outlineLevel="0" collapsed="false">
      <c r="A1342" s="0" t="s">
        <v>3337</v>
      </c>
      <c r="B1342" s="0" t="s">
        <v>3338</v>
      </c>
      <c r="C1342" s="0" t="s">
        <v>63</v>
      </c>
      <c r="D1342" s="2" t="s">
        <v>11</v>
      </c>
      <c r="E1342" s="0" t="str">
        <f aca="false">VLOOKUP(D1342,Fornitori!$A$2:$C$6,2,FALSE())</f>
        <v>Meccanica Bassi S.r.l.</v>
      </c>
      <c r="F1342" s="0" t="n">
        <v>40</v>
      </c>
      <c r="G1342" s="0" t="n">
        <v>12</v>
      </c>
      <c r="H1342" s="0" t="str">
        <f aca="false">IF(F1342&lt;G1342,"SI","NO")</f>
        <v>NO</v>
      </c>
    </row>
    <row r="1343" customFormat="false" ht="15" hidden="false" customHeight="false" outlineLevel="0" collapsed="false">
      <c r="A1343" s="0" t="s">
        <v>3339</v>
      </c>
      <c r="B1343" s="0" t="s">
        <v>3340</v>
      </c>
      <c r="C1343" s="0" t="s">
        <v>3341</v>
      </c>
      <c r="D1343" s="2" t="s">
        <v>15</v>
      </c>
      <c r="E1343" s="0" t="str">
        <f aca="false">VLOOKUP(D1343,Fornitori!$A$2:$C$6,2,FALSE())</f>
        <v>Rulmeca Italia</v>
      </c>
      <c r="F1343" s="0" t="n">
        <v>27</v>
      </c>
      <c r="G1343" s="0" t="n">
        <v>22</v>
      </c>
      <c r="H1343" s="0" t="str">
        <f aca="false">IF(F1343&lt;G1343,"SI","NO")</f>
        <v>NO</v>
      </c>
    </row>
    <row r="1344" customFormat="false" ht="15" hidden="false" customHeight="false" outlineLevel="0" collapsed="false">
      <c r="A1344" s="0" t="s">
        <v>3342</v>
      </c>
      <c r="B1344" s="0" t="s">
        <v>3343</v>
      </c>
      <c r="C1344" s="0" t="s">
        <v>1645</v>
      </c>
      <c r="D1344" s="2" t="s">
        <v>19</v>
      </c>
      <c r="E1344" s="0" t="str">
        <f aca="false">VLOOKUP(D1344,Fornitori!$A$2:$C$6,2,FALSE())</f>
        <v>Elettrotecnica Ferri</v>
      </c>
      <c r="F1344" s="0" t="n">
        <v>21</v>
      </c>
      <c r="G1344" s="0" t="n">
        <v>7</v>
      </c>
      <c r="H1344" s="0" t="str">
        <f aca="false">IF(F1344&lt;G1344,"SI","NO")</f>
        <v>NO</v>
      </c>
    </row>
    <row r="1345" customFormat="false" ht="15" hidden="false" customHeight="false" outlineLevel="0" collapsed="false">
      <c r="A1345" s="0" t="s">
        <v>3344</v>
      </c>
      <c r="B1345" s="0" t="s">
        <v>1184</v>
      </c>
      <c r="C1345" s="0" t="s">
        <v>3345</v>
      </c>
      <c r="D1345" s="2" t="s">
        <v>23</v>
      </c>
      <c r="E1345" s="0" t="str">
        <f aca="false">VLOOKUP(D1345,Fornitori!$A$2:$C$6,2,FALSE())</f>
        <v>Pneumax Service</v>
      </c>
      <c r="F1345" s="0" t="n">
        <v>47</v>
      </c>
      <c r="G1345" s="0" t="n">
        <v>19</v>
      </c>
      <c r="H1345" s="0" t="str">
        <f aca="false">IF(F1345&lt;G1345,"SI","NO")</f>
        <v>NO</v>
      </c>
    </row>
    <row r="1346" customFormat="false" ht="15" hidden="false" customHeight="false" outlineLevel="0" collapsed="false">
      <c r="A1346" s="0" t="s">
        <v>3346</v>
      </c>
      <c r="B1346" s="0" t="s">
        <v>3347</v>
      </c>
      <c r="C1346" s="0" t="s">
        <v>3348</v>
      </c>
      <c r="D1346" s="2" t="s">
        <v>27</v>
      </c>
      <c r="E1346" s="0" t="str">
        <f aca="false">VLOOKUP(D1346,Fornitori!$A$2:$C$6,2,FALSE())</f>
        <v>Guarnizioni Alpi</v>
      </c>
      <c r="F1346" s="0" t="n">
        <v>2</v>
      </c>
      <c r="G1346" s="0" t="n">
        <v>21</v>
      </c>
      <c r="H1346" s="0" t="str">
        <f aca="false">IF(F1346&lt;G1346,"SI","NO")</f>
        <v>SI</v>
      </c>
    </row>
    <row r="1347" customFormat="false" ht="15" hidden="false" customHeight="false" outlineLevel="0" collapsed="false">
      <c r="A1347" s="0" t="s">
        <v>3349</v>
      </c>
      <c r="B1347" s="0" t="s">
        <v>1001</v>
      </c>
      <c r="C1347" s="0" t="s">
        <v>559</v>
      </c>
      <c r="D1347" s="2" t="s">
        <v>11</v>
      </c>
      <c r="E1347" s="0" t="str">
        <f aca="false">VLOOKUP(D1347,Fornitori!$A$2:$C$6,2,FALSE())</f>
        <v>Meccanica Bassi S.r.l.</v>
      </c>
      <c r="F1347" s="0" t="n">
        <v>8</v>
      </c>
      <c r="G1347" s="0" t="n">
        <v>11</v>
      </c>
      <c r="H1347" s="0" t="str">
        <f aca="false">IF(F1347&lt;G1347,"SI","NO")</f>
        <v>SI</v>
      </c>
    </row>
    <row r="1348" customFormat="false" ht="15" hidden="false" customHeight="false" outlineLevel="0" collapsed="false">
      <c r="A1348" s="0" t="s">
        <v>3350</v>
      </c>
      <c r="B1348" s="0" t="s">
        <v>3351</v>
      </c>
      <c r="C1348" s="0" t="s">
        <v>3352</v>
      </c>
      <c r="D1348" s="2" t="s">
        <v>15</v>
      </c>
      <c r="E1348" s="0" t="str">
        <f aca="false">VLOOKUP(D1348,Fornitori!$A$2:$C$6,2,FALSE())</f>
        <v>Rulmeca Italia</v>
      </c>
      <c r="F1348" s="0" t="n">
        <v>41</v>
      </c>
      <c r="G1348" s="0" t="n">
        <v>24</v>
      </c>
      <c r="H1348" s="0" t="str">
        <f aca="false">IF(F1348&lt;G1348,"SI","NO")</f>
        <v>NO</v>
      </c>
    </row>
    <row r="1349" customFormat="false" ht="15" hidden="false" customHeight="false" outlineLevel="0" collapsed="false">
      <c r="A1349" s="0" t="s">
        <v>3353</v>
      </c>
      <c r="B1349" s="0" t="s">
        <v>3354</v>
      </c>
      <c r="C1349" s="0" t="s">
        <v>3355</v>
      </c>
      <c r="D1349" s="2" t="s">
        <v>19</v>
      </c>
      <c r="E1349" s="0" t="str">
        <f aca="false">VLOOKUP(D1349,Fornitori!$A$2:$C$6,2,FALSE())</f>
        <v>Elettrotecnica Ferri</v>
      </c>
      <c r="F1349" s="0" t="n">
        <v>57</v>
      </c>
      <c r="G1349" s="0" t="n">
        <v>5</v>
      </c>
      <c r="H1349" s="0" t="str">
        <f aca="false">IF(F1349&lt;G1349,"SI","NO")</f>
        <v>NO</v>
      </c>
    </row>
    <row r="1350" customFormat="false" ht="15" hidden="false" customHeight="false" outlineLevel="0" collapsed="false">
      <c r="A1350" s="0" t="s">
        <v>3356</v>
      </c>
      <c r="B1350" s="0" t="s">
        <v>3357</v>
      </c>
      <c r="C1350" s="0" t="s">
        <v>251</v>
      </c>
      <c r="D1350" s="2" t="s">
        <v>23</v>
      </c>
      <c r="E1350" s="0" t="str">
        <f aca="false">VLOOKUP(D1350,Fornitori!$A$2:$C$6,2,FALSE())</f>
        <v>Pneumax Service</v>
      </c>
      <c r="F1350" s="0" t="n">
        <v>19</v>
      </c>
      <c r="G1350" s="0" t="n">
        <v>5</v>
      </c>
      <c r="H1350" s="0" t="str">
        <f aca="false">IF(F1350&lt;G1350,"SI","NO")</f>
        <v>NO</v>
      </c>
    </row>
    <row r="1351" customFormat="false" ht="15" hidden="false" customHeight="false" outlineLevel="0" collapsed="false">
      <c r="A1351" s="0" t="s">
        <v>3358</v>
      </c>
      <c r="B1351" s="0" t="s">
        <v>2520</v>
      </c>
      <c r="C1351" s="0" t="s">
        <v>1169</v>
      </c>
      <c r="D1351" s="2" t="s">
        <v>27</v>
      </c>
      <c r="E1351" s="0" t="str">
        <f aca="false">VLOOKUP(D1351,Fornitori!$A$2:$C$6,2,FALSE())</f>
        <v>Guarnizioni Alpi</v>
      </c>
      <c r="F1351" s="0" t="n">
        <v>26</v>
      </c>
      <c r="G1351" s="0" t="n">
        <v>19</v>
      </c>
      <c r="H1351" s="0" t="str">
        <f aca="false">IF(F1351&lt;G1351,"SI","NO")</f>
        <v>NO</v>
      </c>
    </row>
    <row r="1352" customFormat="false" ht="15" hidden="false" customHeight="false" outlineLevel="0" collapsed="false">
      <c r="A1352" s="0" t="s">
        <v>3359</v>
      </c>
      <c r="B1352" s="0" t="s">
        <v>3360</v>
      </c>
      <c r="C1352" s="0" t="s">
        <v>601</v>
      </c>
      <c r="D1352" s="2" t="s">
        <v>11</v>
      </c>
      <c r="E1352" s="0" t="str">
        <f aca="false">VLOOKUP(D1352,Fornitori!$A$2:$C$6,2,FALSE())</f>
        <v>Meccanica Bassi S.r.l.</v>
      </c>
      <c r="F1352" s="0" t="n">
        <v>2</v>
      </c>
      <c r="G1352" s="0" t="n">
        <v>10</v>
      </c>
      <c r="H1352" s="0" t="str">
        <f aca="false">IF(F1352&lt;G1352,"SI","NO")</f>
        <v>SI</v>
      </c>
    </row>
    <row r="1353" customFormat="false" ht="15" hidden="false" customHeight="false" outlineLevel="0" collapsed="false">
      <c r="A1353" s="0" t="s">
        <v>3361</v>
      </c>
      <c r="B1353" s="0" t="s">
        <v>3362</v>
      </c>
      <c r="C1353" s="0" t="s">
        <v>3363</v>
      </c>
      <c r="D1353" s="2" t="s">
        <v>15</v>
      </c>
      <c r="E1353" s="0" t="str">
        <f aca="false">VLOOKUP(D1353,Fornitori!$A$2:$C$6,2,FALSE())</f>
        <v>Rulmeca Italia</v>
      </c>
      <c r="F1353" s="0" t="n">
        <v>1</v>
      </c>
      <c r="G1353" s="0" t="n">
        <v>14</v>
      </c>
      <c r="H1353" s="0" t="str">
        <f aca="false">IF(F1353&lt;G1353,"SI","NO")</f>
        <v>SI</v>
      </c>
    </row>
    <row r="1354" customFormat="false" ht="15" hidden="false" customHeight="false" outlineLevel="0" collapsed="false">
      <c r="A1354" s="0" t="s">
        <v>3364</v>
      </c>
      <c r="B1354" s="0" t="s">
        <v>3365</v>
      </c>
      <c r="C1354" s="0" t="s">
        <v>890</v>
      </c>
      <c r="D1354" s="2" t="s">
        <v>19</v>
      </c>
      <c r="E1354" s="0" t="str">
        <f aca="false">VLOOKUP(D1354,Fornitori!$A$2:$C$6,2,FALSE())</f>
        <v>Elettrotecnica Ferri</v>
      </c>
      <c r="F1354" s="0" t="n">
        <v>4</v>
      </c>
      <c r="G1354" s="0" t="n">
        <v>19</v>
      </c>
      <c r="H1354" s="0" t="str">
        <f aca="false">IF(F1354&lt;G1354,"SI","NO")</f>
        <v>SI</v>
      </c>
    </row>
    <row r="1355" customFormat="false" ht="15" hidden="false" customHeight="false" outlineLevel="0" collapsed="false">
      <c r="A1355" s="0" t="s">
        <v>3366</v>
      </c>
      <c r="B1355" s="0" t="s">
        <v>3367</v>
      </c>
      <c r="C1355" s="0" t="s">
        <v>529</v>
      </c>
      <c r="D1355" s="2" t="s">
        <v>23</v>
      </c>
      <c r="E1355" s="0" t="str">
        <f aca="false">VLOOKUP(D1355,Fornitori!$A$2:$C$6,2,FALSE())</f>
        <v>Pneumax Service</v>
      </c>
      <c r="F1355" s="0" t="n">
        <v>46</v>
      </c>
      <c r="G1355" s="0" t="n">
        <v>20</v>
      </c>
      <c r="H1355" s="0" t="str">
        <f aca="false">IF(F1355&lt;G1355,"SI","NO")</f>
        <v>NO</v>
      </c>
    </row>
    <row r="1356" customFormat="false" ht="15" hidden="false" customHeight="false" outlineLevel="0" collapsed="false">
      <c r="A1356" s="0" t="s">
        <v>3368</v>
      </c>
      <c r="B1356" s="0" t="s">
        <v>2796</v>
      </c>
      <c r="C1356" s="0" t="s">
        <v>2629</v>
      </c>
      <c r="D1356" s="2" t="s">
        <v>27</v>
      </c>
      <c r="E1356" s="0" t="str">
        <f aca="false">VLOOKUP(D1356,Fornitori!$A$2:$C$6,2,FALSE())</f>
        <v>Guarnizioni Alpi</v>
      </c>
      <c r="F1356" s="0" t="n">
        <v>5</v>
      </c>
      <c r="G1356" s="0" t="n">
        <v>22</v>
      </c>
      <c r="H1356" s="0" t="str">
        <f aca="false">IF(F1356&lt;G1356,"SI","NO")</f>
        <v>SI</v>
      </c>
    </row>
    <row r="1357" customFormat="false" ht="15" hidden="false" customHeight="false" outlineLevel="0" collapsed="false">
      <c r="A1357" s="0" t="s">
        <v>3369</v>
      </c>
      <c r="B1357" s="0" t="s">
        <v>3370</v>
      </c>
      <c r="C1357" s="0" t="s">
        <v>3318</v>
      </c>
      <c r="D1357" s="2" t="s">
        <v>11</v>
      </c>
      <c r="E1357" s="0" t="str">
        <f aca="false">VLOOKUP(D1357,Fornitori!$A$2:$C$6,2,FALSE())</f>
        <v>Meccanica Bassi S.r.l.</v>
      </c>
      <c r="F1357" s="0" t="n">
        <v>20</v>
      </c>
      <c r="G1357" s="0" t="n">
        <v>24</v>
      </c>
      <c r="H1357" s="0" t="str">
        <f aca="false">IF(F1357&lt;G1357,"SI","NO")</f>
        <v>SI</v>
      </c>
    </row>
    <row r="1358" customFormat="false" ht="15" hidden="false" customHeight="false" outlineLevel="0" collapsed="false">
      <c r="A1358" s="0" t="s">
        <v>3371</v>
      </c>
      <c r="B1358" s="0" t="s">
        <v>3372</v>
      </c>
      <c r="C1358" s="0" t="s">
        <v>383</v>
      </c>
      <c r="D1358" s="2" t="s">
        <v>15</v>
      </c>
      <c r="E1358" s="0" t="str">
        <f aca="false">VLOOKUP(D1358,Fornitori!$A$2:$C$6,2,FALSE())</f>
        <v>Rulmeca Italia</v>
      </c>
      <c r="F1358" s="0" t="n">
        <v>51</v>
      </c>
      <c r="G1358" s="0" t="n">
        <v>23</v>
      </c>
      <c r="H1358" s="0" t="str">
        <f aca="false">IF(F1358&lt;G1358,"SI","NO")</f>
        <v>NO</v>
      </c>
    </row>
    <row r="1359" customFormat="false" ht="15" hidden="false" customHeight="false" outlineLevel="0" collapsed="false">
      <c r="A1359" s="0" t="s">
        <v>3373</v>
      </c>
      <c r="B1359" s="0" t="s">
        <v>3374</v>
      </c>
      <c r="C1359" s="0" t="s">
        <v>1437</v>
      </c>
      <c r="D1359" s="2" t="s">
        <v>19</v>
      </c>
      <c r="E1359" s="0" t="str">
        <f aca="false">VLOOKUP(D1359,Fornitori!$A$2:$C$6,2,FALSE())</f>
        <v>Elettrotecnica Ferri</v>
      </c>
      <c r="F1359" s="0" t="n">
        <v>48</v>
      </c>
      <c r="G1359" s="0" t="n">
        <v>12</v>
      </c>
      <c r="H1359" s="0" t="str">
        <f aca="false">IF(F1359&lt;G1359,"SI","NO")</f>
        <v>NO</v>
      </c>
    </row>
    <row r="1360" customFormat="false" ht="15" hidden="false" customHeight="false" outlineLevel="0" collapsed="false">
      <c r="A1360" s="0" t="s">
        <v>3375</v>
      </c>
      <c r="B1360" s="0" t="s">
        <v>2233</v>
      </c>
      <c r="C1360" s="0" t="s">
        <v>3376</v>
      </c>
      <c r="D1360" s="2" t="s">
        <v>23</v>
      </c>
      <c r="E1360" s="0" t="str">
        <f aca="false">VLOOKUP(D1360,Fornitori!$A$2:$C$6,2,FALSE())</f>
        <v>Pneumax Service</v>
      </c>
      <c r="F1360" s="0" t="n">
        <v>55</v>
      </c>
      <c r="G1360" s="0" t="n">
        <v>6</v>
      </c>
      <c r="H1360" s="0" t="str">
        <f aca="false">IF(F1360&lt;G1360,"SI","NO")</f>
        <v>NO</v>
      </c>
    </row>
    <row r="1361" customFormat="false" ht="15" hidden="false" customHeight="false" outlineLevel="0" collapsed="false">
      <c r="A1361" s="0" t="s">
        <v>3377</v>
      </c>
      <c r="B1361" s="0" t="s">
        <v>3378</v>
      </c>
      <c r="C1361" s="0" t="s">
        <v>934</v>
      </c>
      <c r="D1361" s="2" t="s">
        <v>27</v>
      </c>
      <c r="E1361" s="0" t="str">
        <f aca="false">VLOOKUP(D1361,Fornitori!$A$2:$C$6,2,FALSE())</f>
        <v>Guarnizioni Alpi</v>
      </c>
      <c r="F1361" s="0" t="n">
        <v>31</v>
      </c>
      <c r="G1361" s="0" t="n">
        <v>11</v>
      </c>
      <c r="H1361" s="0" t="str">
        <f aca="false">IF(F1361&lt;G1361,"SI","NO")</f>
        <v>NO</v>
      </c>
    </row>
    <row r="1362" customFormat="false" ht="15" hidden="false" customHeight="false" outlineLevel="0" collapsed="false">
      <c r="A1362" s="0" t="s">
        <v>3379</v>
      </c>
      <c r="B1362" s="0" t="s">
        <v>3380</v>
      </c>
      <c r="C1362" s="0" t="s">
        <v>2930</v>
      </c>
      <c r="D1362" s="2" t="s">
        <v>11</v>
      </c>
      <c r="E1362" s="0" t="str">
        <f aca="false">VLOOKUP(D1362,Fornitori!$A$2:$C$6,2,FALSE())</f>
        <v>Meccanica Bassi S.r.l.</v>
      </c>
      <c r="F1362" s="0" t="n">
        <v>26</v>
      </c>
      <c r="G1362" s="0" t="n">
        <v>11</v>
      </c>
      <c r="H1362" s="0" t="str">
        <f aca="false">IF(F1362&lt;G1362,"SI","NO")</f>
        <v>NO</v>
      </c>
    </row>
    <row r="1363" customFormat="false" ht="15" hidden="false" customHeight="false" outlineLevel="0" collapsed="false">
      <c r="A1363" s="0" t="s">
        <v>3381</v>
      </c>
      <c r="B1363" s="0" t="s">
        <v>3382</v>
      </c>
      <c r="C1363" s="0" t="s">
        <v>3383</v>
      </c>
      <c r="D1363" s="2" t="s">
        <v>15</v>
      </c>
      <c r="E1363" s="0" t="str">
        <f aca="false">VLOOKUP(D1363,Fornitori!$A$2:$C$6,2,FALSE())</f>
        <v>Rulmeca Italia</v>
      </c>
      <c r="F1363" s="0" t="n">
        <v>21</v>
      </c>
      <c r="G1363" s="0" t="n">
        <v>17</v>
      </c>
      <c r="H1363" s="0" t="str">
        <f aca="false">IF(F1363&lt;G1363,"SI","NO")</f>
        <v>NO</v>
      </c>
    </row>
    <row r="1364" customFormat="false" ht="15" hidden="false" customHeight="false" outlineLevel="0" collapsed="false">
      <c r="A1364" s="0" t="s">
        <v>3384</v>
      </c>
      <c r="B1364" s="0" t="s">
        <v>3385</v>
      </c>
      <c r="C1364" s="0" t="s">
        <v>484</v>
      </c>
      <c r="D1364" s="2" t="s">
        <v>19</v>
      </c>
      <c r="E1364" s="0" t="str">
        <f aca="false">VLOOKUP(D1364,Fornitori!$A$2:$C$6,2,FALSE())</f>
        <v>Elettrotecnica Ferri</v>
      </c>
      <c r="F1364" s="0" t="n">
        <v>6</v>
      </c>
      <c r="G1364" s="0" t="n">
        <v>8</v>
      </c>
      <c r="H1364" s="0" t="str">
        <f aca="false">IF(F1364&lt;G1364,"SI","NO")</f>
        <v>SI</v>
      </c>
    </row>
    <row r="1365" customFormat="false" ht="15" hidden="false" customHeight="false" outlineLevel="0" collapsed="false">
      <c r="A1365" s="0" t="s">
        <v>3386</v>
      </c>
      <c r="B1365" s="0" t="s">
        <v>3387</v>
      </c>
      <c r="C1365" s="0" t="s">
        <v>3388</v>
      </c>
      <c r="D1365" s="2" t="s">
        <v>23</v>
      </c>
      <c r="E1365" s="0" t="str">
        <f aca="false">VLOOKUP(D1365,Fornitori!$A$2:$C$6,2,FALSE())</f>
        <v>Pneumax Service</v>
      </c>
      <c r="F1365" s="0" t="n">
        <v>55</v>
      </c>
      <c r="G1365" s="0" t="n">
        <v>7</v>
      </c>
      <c r="H1365" s="0" t="str">
        <f aca="false">IF(F1365&lt;G1365,"SI","NO")</f>
        <v>NO</v>
      </c>
    </row>
    <row r="1366" customFormat="false" ht="15" hidden="false" customHeight="false" outlineLevel="0" collapsed="false">
      <c r="A1366" s="0" t="s">
        <v>3389</v>
      </c>
      <c r="B1366" s="0" t="s">
        <v>3390</v>
      </c>
      <c r="C1366" s="0" t="s">
        <v>1454</v>
      </c>
      <c r="D1366" s="2" t="s">
        <v>27</v>
      </c>
      <c r="E1366" s="0" t="str">
        <f aca="false">VLOOKUP(D1366,Fornitori!$A$2:$C$6,2,FALSE())</f>
        <v>Guarnizioni Alpi</v>
      </c>
      <c r="F1366" s="0" t="n">
        <v>52</v>
      </c>
      <c r="G1366" s="0" t="n">
        <v>24</v>
      </c>
      <c r="H1366" s="0" t="str">
        <f aca="false">IF(F1366&lt;G1366,"SI","NO")</f>
        <v>NO</v>
      </c>
    </row>
    <row r="1367" customFormat="false" ht="15" hidden="false" customHeight="false" outlineLevel="0" collapsed="false">
      <c r="A1367" s="0" t="s">
        <v>3391</v>
      </c>
      <c r="B1367" s="0" t="s">
        <v>3392</v>
      </c>
      <c r="C1367" s="0" t="s">
        <v>2652</v>
      </c>
      <c r="D1367" s="2" t="s">
        <v>11</v>
      </c>
      <c r="E1367" s="0" t="str">
        <f aca="false">VLOOKUP(D1367,Fornitori!$A$2:$C$6,2,FALSE())</f>
        <v>Meccanica Bassi S.r.l.</v>
      </c>
      <c r="F1367" s="0" t="n">
        <v>17</v>
      </c>
      <c r="G1367" s="0" t="n">
        <v>16</v>
      </c>
      <c r="H1367" s="0" t="str">
        <f aca="false">IF(F1367&lt;G1367,"SI","NO")</f>
        <v>NO</v>
      </c>
    </row>
    <row r="1368" customFormat="false" ht="15" hidden="false" customHeight="false" outlineLevel="0" collapsed="false">
      <c r="A1368" s="0" t="s">
        <v>3393</v>
      </c>
      <c r="B1368" s="0" t="s">
        <v>1351</v>
      </c>
      <c r="C1368" s="0" t="s">
        <v>3394</v>
      </c>
      <c r="D1368" s="2" t="s">
        <v>15</v>
      </c>
      <c r="E1368" s="0" t="str">
        <f aca="false">VLOOKUP(D1368,Fornitori!$A$2:$C$6,2,FALSE())</f>
        <v>Rulmeca Italia</v>
      </c>
      <c r="F1368" s="0" t="n">
        <v>59</v>
      </c>
      <c r="G1368" s="0" t="n">
        <v>10</v>
      </c>
      <c r="H1368" s="0" t="str">
        <f aca="false">IF(F1368&lt;G1368,"SI","NO")</f>
        <v>NO</v>
      </c>
    </row>
    <row r="1369" customFormat="false" ht="15" hidden="false" customHeight="false" outlineLevel="0" collapsed="false">
      <c r="A1369" s="0" t="s">
        <v>3395</v>
      </c>
      <c r="B1369" s="0" t="s">
        <v>2401</v>
      </c>
      <c r="C1369" s="0" t="s">
        <v>978</v>
      </c>
      <c r="D1369" s="2" t="s">
        <v>19</v>
      </c>
      <c r="E1369" s="0" t="str">
        <f aca="false">VLOOKUP(D1369,Fornitori!$A$2:$C$6,2,FALSE())</f>
        <v>Elettrotecnica Ferri</v>
      </c>
      <c r="F1369" s="0" t="n">
        <v>19</v>
      </c>
      <c r="G1369" s="0" t="n">
        <v>11</v>
      </c>
      <c r="H1369" s="0" t="str">
        <f aca="false">IF(F1369&lt;G1369,"SI","NO")</f>
        <v>NO</v>
      </c>
    </row>
    <row r="1370" customFormat="false" ht="15" hidden="false" customHeight="false" outlineLevel="0" collapsed="false">
      <c r="A1370" s="0" t="s">
        <v>3396</v>
      </c>
      <c r="B1370" s="0" t="s">
        <v>2072</v>
      </c>
      <c r="C1370" s="0" t="s">
        <v>2148</v>
      </c>
      <c r="D1370" s="2" t="s">
        <v>23</v>
      </c>
      <c r="E1370" s="0" t="str">
        <f aca="false">VLOOKUP(D1370,Fornitori!$A$2:$C$6,2,FALSE())</f>
        <v>Pneumax Service</v>
      </c>
      <c r="F1370" s="0" t="n">
        <v>40</v>
      </c>
      <c r="G1370" s="0" t="n">
        <v>23</v>
      </c>
      <c r="H1370" s="0" t="str">
        <f aca="false">IF(F1370&lt;G1370,"SI","NO")</f>
        <v>NO</v>
      </c>
    </row>
    <row r="1371" customFormat="false" ht="15" hidden="false" customHeight="false" outlineLevel="0" collapsed="false">
      <c r="A1371" s="0" t="s">
        <v>3397</v>
      </c>
      <c r="B1371" s="0" t="s">
        <v>2538</v>
      </c>
      <c r="C1371" s="0" t="s">
        <v>1710</v>
      </c>
      <c r="D1371" s="2" t="s">
        <v>27</v>
      </c>
      <c r="E1371" s="0" t="str">
        <f aca="false">VLOOKUP(D1371,Fornitori!$A$2:$C$6,2,FALSE())</f>
        <v>Guarnizioni Alpi</v>
      </c>
      <c r="F1371" s="0" t="n">
        <v>50</v>
      </c>
      <c r="G1371" s="0" t="n">
        <v>9</v>
      </c>
      <c r="H1371" s="0" t="str">
        <f aca="false">IF(F1371&lt;G1371,"SI","NO")</f>
        <v>NO</v>
      </c>
    </row>
    <row r="1372" customFormat="false" ht="15" hidden="false" customHeight="false" outlineLevel="0" collapsed="false">
      <c r="A1372" s="0" t="s">
        <v>3398</v>
      </c>
      <c r="B1372" s="0" t="s">
        <v>3399</v>
      </c>
      <c r="C1372" s="0" t="s">
        <v>3400</v>
      </c>
      <c r="D1372" s="2" t="s">
        <v>11</v>
      </c>
      <c r="E1372" s="0" t="str">
        <f aca="false">VLOOKUP(D1372,Fornitori!$A$2:$C$6,2,FALSE())</f>
        <v>Meccanica Bassi S.r.l.</v>
      </c>
      <c r="F1372" s="0" t="n">
        <v>40</v>
      </c>
      <c r="G1372" s="0" t="n">
        <v>9</v>
      </c>
      <c r="H1372" s="0" t="str">
        <f aca="false">IF(F1372&lt;G1372,"SI","NO")</f>
        <v>NO</v>
      </c>
    </row>
    <row r="1373" customFormat="false" ht="15" hidden="false" customHeight="false" outlineLevel="0" collapsed="false">
      <c r="A1373" s="0" t="s">
        <v>3401</v>
      </c>
      <c r="B1373" s="0" t="s">
        <v>3402</v>
      </c>
      <c r="C1373" s="0" t="s">
        <v>577</v>
      </c>
      <c r="D1373" s="2" t="s">
        <v>15</v>
      </c>
      <c r="E1373" s="0" t="str">
        <f aca="false">VLOOKUP(D1373,Fornitori!$A$2:$C$6,2,FALSE())</f>
        <v>Rulmeca Italia</v>
      </c>
      <c r="F1373" s="0" t="n">
        <v>34</v>
      </c>
      <c r="G1373" s="0" t="n">
        <v>13</v>
      </c>
      <c r="H1373" s="0" t="str">
        <f aca="false">IF(F1373&lt;G1373,"SI","NO")</f>
        <v>NO</v>
      </c>
    </row>
    <row r="1374" customFormat="false" ht="15" hidden="false" customHeight="false" outlineLevel="0" collapsed="false">
      <c r="A1374" s="0" t="s">
        <v>3403</v>
      </c>
      <c r="B1374" s="0" t="s">
        <v>3404</v>
      </c>
      <c r="C1374" s="0" t="s">
        <v>2234</v>
      </c>
      <c r="D1374" s="2" t="s">
        <v>19</v>
      </c>
      <c r="E1374" s="0" t="str">
        <f aca="false">VLOOKUP(D1374,Fornitori!$A$2:$C$6,2,FALSE())</f>
        <v>Elettrotecnica Ferri</v>
      </c>
      <c r="F1374" s="0" t="n">
        <v>52</v>
      </c>
      <c r="G1374" s="0" t="n">
        <v>13</v>
      </c>
      <c r="H1374" s="0" t="str">
        <f aca="false">IF(F1374&lt;G1374,"SI","NO")</f>
        <v>NO</v>
      </c>
    </row>
    <row r="1375" customFormat="false" ht="15" hidden="false" customHeight="false" outlineLevel="0" collapsed="false">
      <c r="A1375" s="0" t="s">
        <v>3405</v>
      </c>
      <c r="B1375" s="0" t="s">
        <v>3406</v>
      </c>
      <c r="C1375" s="0" t="s">
        <v>1742</v>
      </c>
      <c r="D1375" s="2" t="s">
        <v>23</v>
      </c>
      <c r="E1375" s="0" t="str">
        <f aca="false">VLOOKUP(D1375,Fornitori!$A$2:$C$6,2,FALSE())</f>
        <v>Pneumax Service</v>
      </c>
      <c r="F1375" s="0" t="n">
        <v>23</v>
      </c>
      <c r="G1375" s="0" t="n">
        <v>15</v>
      </c>
      <c r="H1375" s="0" t="str">
        <f aca="false">IF(F1375&lt;G1375,"SI","NO")</f>
        <v>NO</v>
      </c>
    </row>
    <row r="1376" customFormat="false" ht="15" hidden="false" customHeight="false" outlineLevel="0" collapsed="false">
      <c r="A1376" s="0" t="s">
        <v>3407</v>
      </c>
      <c r="B1376" s="0" t="s">
        <v>3408</v>
      </c>
      <c r="C1376" s="0" t="s">
        <v>3409</v>
      </c>
      <c r="D1376" s="2" t="s">
        <v>27</v>
      </c>
      <c r="E1376" s="0" t="str">
        <f aca="false">VLOOKUP(D1376,Fornitori!$A$2:$C$6,2,FALSE())</f>
        <v>Guarnizioni Alpi</v>
      </c>
      <c r="F1376" s="0" t="n">
        <v>19</v>
      </c>
      <c r="G1376" s="0" t="n">
        <v>24</v>
      </c>
      <c r="H1376" s="0" t="str">
        <f aca="false">IF(F1376&lt;G1376,"SI","NO")</f>
        <v>SI</v>
      </c>
    </row>
    <row r="1377" customFormat="false" ht="15" hidden="false" customHeight="false" outlineLevel="0" collapsed="false">
      <c r="A1377" s="0" t="s">
        <v>3410</v>
      </c>
      <c r="B1377" s="0" t="s">
        <v>1824</v>
      </c>
      <c r="C1377" s="0" t="s">
        <v>1667</v>
      </c>
      <c r="D1377" s="2" t="s">
        <v>11</v>
      </c>
      <c r="E1377" s="0" t="str">
        <f aca="false">VLOOKUP(D1377,Fornitori!$A$2:$C$6,2,FALSE())</f>
        <v>Meccanica Bassi S.r.l.</v>
      </c>
      <c r="F1377" s="0" t="n">
        <v>5</v>
      </c>
      <c r="G1377" s="0" t="n">
        <v>20</v>
      </c>
      <c r="H1377" s="0" t="str">
        <f aca="false">IF(F1377&lt;G1377,"SI","NO")</f>
        <v>SI</v>
      </c>
    </row>
    <row r="1378" customFormat="false" ht="15" hidden="false" customHeight="false" outlineLevel="0" collapsed="false">
      <c r="A1378" s="0" t="s">
        <v>3411</v>
      </c>
      <c r="B1378" s="0" t="s">
        <v>3412</v>
      </c>
      <c r="C1378" s="0" t="s">
        <v>3413</v>
      </c>
      <c r="D1378" s="2" t="s">
        <v>15</v>
      </c>
      <c r="E1378" s="0" t="str">
        <f aca="false">VLOOKUP(D1378,Fornitori!$A$2:$C$6,2,FALSE())</f>
        <v>Rulmeca Italia</v>
      </c>
      <c r="F1378" s="0" t="n">
        <v>8</v>
      </c>
      <c r="G1378" s="0" t="n">
        <v>8</v>
      </c>
      <c r="H1378" s="0" t="str">
        <f aca="false">IF(F1378&lt;G1378,"SI","NO")</f>
        <v>NO</v>
      </c>
    </row>
    <row r="1379" customFormat="false" ht="15" hidden="false" customHeight="false" outlineLevel="0" collapsed="false">
      <c r="A1379" s="0" t="s">
        <v>3414</v>
      </c>
      <c r="B1379" s="0" t="s">
        <v>3415</v>
      </c>
      <c r="C1379" s="0" t="s">
        <v>2883</v>
      </c>
      <c r="D1379" s="2" t="s">
        <v>19</v>
      </c>
      <c r="E1379" s="0" t="str">
        <f aca="false">VLOOKUP(D1379,Fornitori!$A$2:$C$6,2,FALSE())</f>
        <v>Elettrotecnica Ferri</v>
      </c>
      <c r="F1379" s="0" t="n">
        <v>11</v>
      </c>
      <c r="G1379" s="0" t="n">
        <v>24</v>
      </c>
      <c r="H1379" s="0" t="str">
        <f aca="false">IF(F1379&lt;G1379,"SI","NO")</f>
        <v>SI</v>
      </c>
    </row>
    <row r="1380" customFormat="false" ht="15" hidden="false" customHeight="false" outlineLevel="0" collapsed="false">
      <c r="A1380" s="0" t="s">
        <v>3416</v>
      </c>
      <c r="B1380" s="0" t="s">
        <v>2378</v>
      </c>
      <c r="C1380" s="0" t="s">
        <v>2896</v>
      </c>
      <c r="D1380" s="2" t="s">
        <v>23</v>
      </c>
      <c r="E1380" s="0" t="str">
        <f aca="false">VLOOKUP(D1380,Fornitori!$A$2:$C$6,2,FALSE())</f>
        <v>Pneumax Service</v>
      </c>
      <c r="F1380" s="0" t="n">
        <v>42</v>
      </c>
      <c r="G1380" s="0" t="n">
        <v>5</v>
      </c>
      <c r="H1380" s="0" t="str">
        <f aca="false">IF(F1380&lt;G1380,"SI","NO")</f>
        <v>NO</v>
      </c>
    </row>
    <row r="1381" customFormat="false" ht="15" hidden="false" customHeight="false" outlineLevel="0" collapsed="false">
      <c r="A1381" s="0" t="s">
        <v>3417</v>
      </c>
      <c r="B1381" s="0" t="s">
        <v>3418</v>
      </c>
      <c r="C1381" s="0" t="s">
        <v>3419</v>
      </c>
      <c r="D1381" s="2" t="s">
        <v>27</v>
      </c>
      <c r="E1381" s="0" t="str">
        <f aca="false">VLOOKUP(D1381,Fornitori!$A$2:$C$6,2,FALSE())</f>
        <v>Guarnizioni Alpi</v>
      </c>
      <c r="F1381" s="0" t="n">
        <v>49</v>
      </c>
      <c r="G1381" s="0" t="n">
        <v>8</v>
      </c>
      <c r="H1381" s="0" t="str">
        <f aca="false">IF(F1381&lt;G1381,"SI","NO")</f>
        <v>NO</v>
      </c>
    </row>
    <row r="1382" customFormat="false" ht="15" hidden="false" customHeight="false" outlineLevel="0" collapsed="false">
      <c r="A1382" s="0" t="s">
        <v>3420</v>
      </c>
      <c r="B1382" s="0" t="s">
        <v>1362</v>
      </c>
      <c r="C1382" s="0" t="s">
        <v>604</v>
      </c>
      <c r="D1382" s="2" t="s">
        <v>11</v>
      </c>
      <c r="E1382" s="0" t="str">
        <f aca="false">VLOOKUP(D1382,Fornitori!$A$2:$C$6,2,FALSE())</f>
        <v>Meccanica Bassi S.r.l.</v>
      </c>
      <c r="F1382" s="0" t="n">
        <v>36</v>
      </c>
      <c r="G1382" s="0" t="n">
        <v>17</v>
      </c>
      <c r="H1382" s="0" t="str">
        <f aca="false">IF(F1382&lt;G1382,"SI","NO")</f>
        <v>NO</v>
      </c>
    </row>
    <row r="1383" customFormat="false" ht="15" hidden="false" customHeight="false" outlineLevel="0" collapsed="false">
      <c r="A1383" s="0" t="s">
        <v>3421</v>
      </c>
      <c r="B1383" s="0" t="s">
        <v>1047</v>
      </c>
      <c r="C1383" s="0" t="s">
        <v>3422</v>
      </c>
      <c r="D1383" s="2" t="s">
        <v>15</v>
      </c>
      <c r="E1383" s="0" t="str">
        <f aca="false">VLOOKUP(D1383,Fornitori!$A$2:$C$6,2,FALSE())</f>
        <v>Rulmeca Italia</v>
      </c>
      <c r="F1383" s="0" t="n">
        <v>7</v>
      </c>
      <c r="G1383" s="0" t="n">
        <v>18</v>
      </c>
      <c r="H1383" s="0" t="str">
        <f aca="false">IF(F1383&lt;G1383,"SI","NO")</f>
        <v>SI</v>
      </c>
    </row>
    <row r="1384" customFormat="false" ht="15" hidden="false" customHeight="false" outlineLevel="0" collapsed="false">
      <c r="A1384" s="0" t="s">
        <v>3423</v>
      </c>
      <c r="B1384" s="0" t="s">
        <v>519</v>
      </c>
      <c r="C1384" s="0" t="s">
        <v>3424</v>
      </c>
      <c r="D1384" s="2" t="s">
        <v>19</v>
      </c>
      <c r="E1384" s="0" t="str">
        <f aca="false">VLOOKUP(D1384,Fornitori!$A$2:$C$6,2,FALSE())</f>
        <v>Elettrotecnica Ferri</v>
      </c>
      <c r="F1384" s="0" t="n">
        <v>27</v>
      </c>
      <c r="G1384" s="0" t="n">
        <v>21</v>
      </c>
      <c r="H1384" s="0" t="str">
        <f aca="false">IF(F1384&lt;G1384,"SI","NO")</f>
        <v>NO</v>
      </c>
    </row>
    <row r="1385" customFormat="false" ht="15" hidden="false" customHeight="false" outlineLevel="0" collapsed="false">
      <c r="A1385" s="0" t="s">
        <v>3425</v>
      </c>
      <c r="B1385" s="0" t="s">
        <v>3426</v>
      </c>
      <c r="C1385" s="0" t="s">
        <v>3427</v>
      </c>
      <c r="D1385" s="2" t="s">
        <v>23</v>
      </c>
      <c r="E1385" s="0" t="str">
        <f aca="false">VLOOKUP(D1385,Fornitori!$A$2:$C$6,2,FALSE())</f>
        <v>Pneumax Service</v>
      </c>
      <c r="F1385" s="0" t="n">
        <v>40</v>
      </c>
      <c r="G1385" s="0" t="n">
        <v>9</v>
      </c>
      <c r="H1385" s="0" t="str">
        <f aca="false">IF(F1385&lt;G1385,"SI","NO")</f>
        <v>NO</v>
      </c>
    </row>
    <row r="1386" customFormat="false" ht="15" hidden="false" customHeight="false" outlineLevel="0" collapsed="false">
      <c r="A1386" s="0" t="s">
        <v>3428</v>
      </c>
      <c r="B1386" s="0" t="s">
        <v>2016</v>
      </c>
      <c r="C1386" s="0" t="s">
        <v>3429</v>
      </c>
      <c r="D1386" s="2" t="s">
        <v>27</v>
      </c>
      <c r="E1386" s="0" t="str">
        <f aca="false">VLOOKUP(D1386,Fornitori!$A$2:$C$6,2,FALSE())</f>
        <v>Guarnizioni Alpi</v>
      </c>
      <c r="F1386" s="0" t="n">
        <v>11</v>
      </c>
      <c r="G1386" s="0" t="n">
        <v>9</v>
      </c>
      <c r="H1386" s="0" t="str">
        <f aca="false">IF(F1386&lt;G1386,"SI","NO")</f>
        <v>NO</v>
      </c>
    </row>
    <row r="1387" customFormat="false" ht="15" hidden="false" customHeight="false" outlineLevel="0" collapsed="false">
      <c r="A1387" s="0" t="s">
        <v>3430</v>
      </c>
      <c r="B1387" s="0" t="s">
        <v>3431</v>
      </c>
      <c r="C1387" s="0" t="s">
        <v>60</v>
      </c>
      <c r="D1387" s="2" t="s">
        <v>11</v>
      </c>
      <c r="E1387" s="0" t="str">
        <f aca="false">VLOOKUP(D1387,Fornitori!$A$2:$C$6,2,FALSE())</f>
        <v>Meccanica Bassi S.r.l.</v>
      </c>
      <c r="F1387" s="0" t="n">
        <v>56</v>
      </c>
      <c r="G1387" s="0" t="n">
        <v>15</v>
      </c>
      <c r="H1387" s="0" t="str">
        <f aca="false">IF(F1387&lt;G1387,"SI","NO")</f>
        <v>NO</v>
      </c>
    </row>
    <row r="1388" customFormat="false" ht="15" hidden="false" customHeight="false" outlineLevel="0" collapsed="false">
      <c r="A1388" s="0" t="s">
        <v>3432</v>
      </c>
      <c r="B1388" s="0" t="s">
        <v>3433</v>
      </c>
      <c r="C1388" s="0" t="s">
        <v>2664</v>
      </c>
      <c r="D1388" s="2" t="s">
        <v>15</v>
      </c>
      <c r="E1388" s="0" t="str">
        <f aca="false">VLOOKUP(D1388,Fornitori!$A$2:$C$6,2,FALSE())</f>
        <v>Rulmeca Italia</v>
      </c>
      <c r="F1388" s="0" t="n">
        <v>1</v>
      </c>
      <c r="G1388" s="0" t="n">
        <v>5</v>
      </c>
      <c r="H1388" s="0" t="str">
        <f aca="false">IF(F1388&lt;G1388,"SI","NO")</f>
        <v>SI</v>
      </c>
    </row>
    <row r="1389" customFormat="false" ht="15" hidden="false" customHeight="false" outlineLevel="0" collapsed="false">
      <c r="A1389" s="0" t="s">
        <v>3434</v>
      </c>
      <c r="B1389" s="0" t="s">
        <v>3435</v>
      </c>
      <c r="C1389" s="0" t="s">
        <v>1657</v>
      </c>
      <c r="D1389" s="2" t="s">
        <v>19</v>
      </c>
      <c r="E1389" s="0" t="str">
        <f aca="false">VLOOKUP(D1389,Fornitori!$A$2:$C$6,2,FALSE())</f>
        <v>Elettrotecnica Ferri</v>
      </c>
      <c r="F1389" s="0" t="n">
        <v>23</v>
      </c>
      <c r="G1389" s="0" t="n">
        <v>12</v>
      </c>
      <c r="H1389" s="0" t="str">
        <f aca="false">IF(F1389&lt;G1389,"SI","NO")</f>
        <v>NO</v>
      </c>
    </row>
    <row r="1390" customFormat="false" ht="15" hidden="false" customHeight="false" outlineLevel="0" collapsed="false">
      <c r="A1390" s="0" t="s">
        <v>3436</v>
      </c>
      <c r="B1390" s="0" t="s">
        <v>3437</v>
      </c>
      <c r="C1390" s="0" t="s">
        <v>3438</v>
      </c>
      <c r="D1390" s="2" t="s">
        <v>23</v>
      </c>
      <c r="E1390" s="0" t="str">
        <f aca="false">VLOOKUP(D1390,Fornitori!$A$2:$C$6,2,FALSE())</f>
        <v>Pneumax Service</v>
      </c>
      <c r="F1390" s="0" t="n">
        <v>25</v>
      </c>
      <c r="G1390" s="0" t="n">
        <v>23</v>
      </c>
      <c r="H1390" s="0" t="str">
        <f aca="false">IF(F1390&lt;G1390,"SI","NO")</f>
        <v>NO</v>
      </c>
    </row>
    <row r="1391" customFormat="false" ht="15" hidden="false" customHeight="false" outlineLevel="0" collapsed="false">
      <c r="A1391" s="0" t="s">
        <v>3439</v>
      </c>
      <c r="B1391" s="0" t="s">
        <v>2186</v>
      </c>
      <c r="C1391" s="0" t="s">
        <v>3309</v>
      </c>
      <c r="D1391" s="2" t="s">
        <v>27</v>
      </c>
      <c r="E1391" s="0" t="str">
        <f aca="false">VLOOKUP(D1391,Fornitori!$A$2:$C$6,2,FALSE())</f>
        <v>Guarnizioni Alpi</v>
      </c>
      <c r="F1391" s="0" t="n">
        <v>58</v>
      </c>
      <c r="G1391" s="0" t="n">
        <v>6</v>
      </c>
      <c r="H1391" s="0" t="str">
        <f aca="false">IF(F1391&lt;G1391,"SI","NO")</f>
        <v>NO</v>
      </c>
    </row>
    <row r="1392" customFormat="false" ht="15" hidden="false" customHeight="false" outlineLevel="0" collapsed="false">
      <c r="A1392" s="0" t="s">
        <v>3440</v>
      </c>
      <c r="B1392" s="0" t="s">
        <v>3441</v>
      </c>
      <c r="C1392" s="0" t="s">
        <v>3442</v>
      </c>
      <c r="D1392" s="2" t="s">
        <v>11</v>
      </c>
      <c r="E1392" s="0" t="str">
        <f aca="false">VLOOKUP(D1392,Fornitori!$A$2:$C$6,2,FALSE())</f>
        <v>Meccanica Bassi S.r.l.</v>
      </c>
      <c r="F1392" s="0" t="n">
        <v>25</v>
      </c>
      <c r="G1392" s="0" t="n">
        <v>19</v>
      </c>
      <c r="H1392" s="0" t="str">
        <f aca="false">IF(F1392&lt;G1392,"SI","NO")</f>
        <v>NO</v>
      </c>
    </row>
    <row r="1393" customFormat="false" ht="15" hidden="false" customHeight="false" outlineLevel="0" collapsed="false">
      <c r="A1393" s="0" t="s">
        <v>3443</v>
      </c>
      <c r="B1393" s="0" t="s">
        <v>766</v>
      </c>
      <c r="C1393" s="0" t="s">
        <v>3444</v>
      </c>
      <c r="D1393" s="2" t="s">
        <v>15</v>
      </c>
      <c r="E1393" s="0" t="str">
        <f aca="false">VLOOKUP(D1393,Fornitori!$A$2:$C$6,2,FALSE())</f>
        <v>Rulmeca Italia</v>
      </c>
      <c r="F1393" s="0" t="n">
        <v>45</v>
      </c>
      <c r="G1393" s="0" t="n">
        <v>7</v>
      </c>
      <c r="H1393" s="0" t="str">
        <f aca="false">IF(F1393&lt;G1393,"SI","NO")</f>
        <v>NO</v>
      </c>
    </row>
    <row r="1394" customFormat="false" ht="15" hidden="false" customHeight="false" outlineLevel="0" collapsed="false">
      <c r="A1394" s="0" t="s">
        <v>3445</v>
      </c>
      <c r="B1394" s="0" t="s">
        <v>3446</v>
      </c>
      <c r="C1394" s="0" t="s">
        <v>3447</v>
      </c>
      <c r="D1394" s="2" t="s">
        <v>19</v>
      </c>
      <c r="E1394" s="0" t="str">
        <f aca="false">VLOOKUP(D1394,Fornitori!$A$2:$C$6,2,FALSE())</f>
        <v>Elettrotecnica Ferri</v>
      </c>
      <c r="F1394" s="0" t="n">
        <v>46</v>
      </c>
      <c r="G1394" s="0" t="n">
        <v>14</v>
      </c>
      <c r="H1394" s="0" t="str">
        <f aca="false">IF(F1394&lt;G1394,"SI","NO")</f>
        <v>NO</v>
      </c>
    </row>
    <row r="1395" customFormat="false" ht="15" hidden="false" customHeight="false" outlineLevel="0" collapsed="false">
      <c r="A1395" s="0" t="s">
        <v>3448</v>
      </c>
      <c r="B1395" s="0" t="s">
        <v>3449</v>
      </c>
      <c r="C1395" s="0" t="s">
        <v>3450</v>
      </c>
      <c r="D1395" s="2" t="s">
        <v>23</v>
      </c>
      <c r="E1395" s="0" t="str">
        <f aca="false">VLOOKUP(D1395,Fornitori!$A$2:$C$6,2,FALSE())</f>
        <v>Pneumax Service</v>
      </c>
      <c r="F1395" s="0" t="n">
        <v>28</v>
      </c>
      <c r="G1395" s="0" t="n">
        <v>20</v>
      </c>
      <c r="H1395" s="0" t="str">
        <f aca="false">IF(F1395&lt;G1395,"SI","NO")</f>
        <v>NO</v>
      </c>
    </row>
    <row r="1396" customFormat="false" ht="15" hidden="false" customHeight="false" outlineLevel="0" collapsed="false">
      <c r="A1396" s="0" t="s">
        <v>3451</v>
      </c>
      <c r="B1396" s="0" t="s">
        <v>2882</v>
      </c>
      <c r="C1396" s="0" t="s">
        <v>3269</v>
      </c>
      <c r="D1396" s="2" t="s">
        <v>27</v>
      </c>
      <c r="E1396" s="0" t="str">
        <f aca="false">VLOOKUP(D1396,Fornitori!$A$2:$C$6,2,FALSE())</f>
        <v>Guarnizioni Alpi</v>
      </c>
      <c r="F1396" s="0" t="n">
        <v>10</v>
      </c>
      <c r="G1396" s="0" t="n">
        <v>22</v>
      </c>
      <c r="H1396" s="0" t="str">
        <f aca="false">IF(F1396&lt;G1396,"SI","NO")</f>
        <v>SI</v>
      </c>
    </row>
    <row r="1397" customFormat="false" ht="15" hidden="false" customHeight="false" outlineLevel="0" collapsed="false">
      <c r="A1397" s="0" t="s">
        <v>3452</v>
      </c>
      <c r="B1397" s="0" t="s">
        <v>353</v>
      </c>
      <c r="C1397" s="0" t="s">
        <v>487</v>
      </c>
      <c r="D1397" s="2" t="s">
        <v>11</v>
      </c>
      <c r="E1397" s="0" t="str">
        <f aca="false">VLOOKUP(D1397,Fornitori!$A$2:$C$6,2,FALSE())</f>
        <v>Meccanica Bassi S.r.l.</v>
      </c>
      <c r="F1397" s="0" t="n">
        <v>4</v>
      </c>
      <c r="G1397" s="0" t="n">
        <v>7</v>
      </c>
      <c r="H1397" s="0" t="str">
        <f aca="false">IF(F1397&lt;G1397,"SI","NO")</f>
        <v>SI</v>
      </c>
    </row>
    <row r="1398" customFormat="false" ht="15" hidden="false" customHeight="false" outlineLevel="0" collapsed="false">
      <c r="A1398" s="0" t="s">
        <v>3453</v>
      </c>
      <c r="B1398" s="0" t="s">
        <v>1114</v>
      </c>
      <c r="C1398" s="0" t="s">
        <v>2294</v>
      </c>
      <c r="D1398" s="2" t="s">
        <v>15</v>
      </c>
      <c r="E1398" s="0" t="str">
        <f aca="false">VLOOKUP(D1398,Fornitori!$A$2:$C$6,2,FALSE())</f>
        <v>Rulmeca Italia</v>
      </c>
      <c r="F1398" s="0" t="n">
        <v>32</v>
      </c>
      <c r="G1398" s="0" t="n">
        <v>13</v>
      </c>
      <c r="H1398" s="0" t="str">
        <f aca="false">IF(F1398&lt;G1398,"SI","NO")</f>
        <v>NO</v>
      </c>
    </row>
    <row r="1399" customFormat="false" ht="15" hidden="false" customHeight="false" outlineLevel="0" collapsed="false">
      <c r="A1399" s="0" t="s">
        <v>3454</v>
      </c>
      <c r="B1399" s="0" t="s">
        <v>3455</v>
      </c>
      <c r="C1399" s="0" t="s">
        <v>3456</v>
      </c>
      <c r="D1399" s="2" t="s">
        <v>19</v>
      </c>
      <c r="E1399" s="0" t="str">
        <f aca="false">VLOOKUP(D1399,Fornitori!$A$2:$C$6,2,FALSE())</f>
        <v>Elettrotecnica Ferri</v>
      </c>
      <c r="F1399" s="0" t="n">
        <v>40</v>
      </c>
      <c r="G1399" s="0" t="n">
        <v>22</v>
      </c>
      <c r="H1399" s="0" t="str">
        <f aca="false">IF(F1399&lt;G1399,"SI","NO")</f>
        <v>NO</v>
      </c>
    </row>
    <row r="1400" customFormat="false" ht="15" hidden="false" customHeight="false" outlineLevel="0" collapsed="false">
      <c r="A1400" s="0" t="s">
        <v>3457</v>
      </c>
      <c r="B1400" s="0" t="s">
        <v>1462</v>
      </c>
      <c r="C1400" s="0" t="s">
        <v>3458</v>
      </c>
      <c r="D1400" s="2" t="s">
        <v>23</v>
      </c>
      <c r="E1400" s="0" t="str">
        <f aca="false">VLOOKUP(D1400,Fornitori!$A$2:$C$6,2,FALSE())</f>
        <v>Pneumax Service</v>
      </c>
      <c r="F1400" s="0" t="n">
        <v>49</v>
      </c>
      <c r="G1400" s="0" t="n">
        <v>15</v>
      </c>
      <c r="H1400" s="0" t="str">
        <f aca="false">IF(F1400&lt;G1400,"SI","NO")</f>
        <v>NO</v>
      </c>
    </row>
    <row r="1401" customFormat="false" ht="15" hidden="false" customHeight="false" outlineLevel="0" collapsed="false">
      <c r="A1401" s="0" t="s">
        <v>3459</v>
      </c>
      <c r="B1401" s="0" t="s">
        <v>790</v>
      </c>
      <c r="C1401" s="0" t="s">
        <v>3460</v>
      </c>
      <c r="D1401" s="2" t="s">
        <v>27</v>
      </c>
      <c r="E1401" s="0" t="str">
        <f aca="false">VLOOKUP(D1401,Fornitori!$A$2:$C$6,2,FALSE())</f>
        <v>Guarnizioni Alpi</v>
      </c>
      <c r="F1401" s="0" t="n">
        <v>52</v>
      </c>
      <c r="G1401" s="0" t="n">
        <v>5</v>
      </c>
      <c r="H1401" s="0" t="str">
        <f aca="false">IF(F1401&lt;G1401,"SI","NO")</f>
        <v>NO</v>
      </c>
    </row>
    <row r="1402" customFormat="false" ht="15" hidden="false" customHeight="false" outlineLevel="0" collapsed="false">
      <c r="A1402" s="0" t="s">
        <v>3461</v>
      </c>
      <c r="B1402" s="0" t="s">
        <v>3320</v>
      </c>
      <c r="C1402" s="0" t="s">
        <v>3128</v>
      </c>
      <c r="D1402" s="2" t="s">
        <v>11</v>
      </c>
      <c r="E1402" s="0" t="str">
        <f aca="false">VLOOKUP(D1402,Fornitori!$A$2:$C$6,2,FALSE())</f>
        <v>Meccanica Bassi S.r.l.</v>
      </c>
      <c r="F1402" s="0" t="n">
        <v>25</v>
      </c>
      <c r="G1402" s="0" t="n">
        <v>15</v>
      </c>
      <c r="H1402" s="0" t="str">
        <f aca="false">IF(F1402&lt;G1402,"SI","NO")</f>
        <v>NO</v>
      </c>
    </row>
    <row r="1403" customFormat="false" ht="15" hidden="false" customHeight="false" outlineLevel="0" collapsed="false">
      <c r="A1403" s="0" t="s">
        <v>3462</v>
      </c>
      <c r="B1403" s="0" t="s">
        <v>1962</v>
      </c>
      <c r="C1403" s="0" t="s">
        <v>3463</v>
      </c>
      <c r="D1403" s="2" t="s">
        <v>15</v>
      </c>
      <c r="E1403" s="0" t="str">
        <f aca="false">VLOOKUP(D1403,Fornitori!$A$2:$C$6,2,FALSE())</f>
        <v>Rulmeca Italia</v>
      </c>
      <c r="F1403" s="0" t="n">
        <v>33</v>
      </c>
      <c r="G1403" s="0" t="n">
        <v>6</v>
      </c>
      <c r="H1403" s="0" t="str">
        <f aca="false">IF(F1403&lt;G1403,"SI","NO")</f>
        <v>NO</v>
      </c>
    </row>
    <row r="1404" customFormat="false" ht="15" hidden="false" customHeight="false" outlineLevel="0" collapsed="false">
      <c r="A1404" s="0" t="s">
        <v>3464</v>
      </c>
      <c r="B1404" s="0" t="s">
        <v>1749</v>
      </c>
      <c r="C1404" s="0" t="s">
        <v>1454</v>
      </c>
      <c r="D1404" s="2" t="s">
        <v>19</v>
      </c>
      <c r="E1404" s="0" t="str">
        <f aca="false">VLOOKUP(D1404,Fornitori!$A$2:$C$6,2,FALSE())</f>
        <v>Elettrotecnica Ferri</v>
      </c>
      <c r="F1404" s="0" t="n">
        <v>34</v>
      </c>
      <c r="G1404" s="0" t="n">
        <v>23</v>
      </c>
      <c r="H1404" s="0" t="str">
        <f aca="false">IF(F1404&lt;G1404,"SI","NO")</f>
        <v>NO</v>
      </c>
    </row>
    <row r="1405" customFormat="false" ht="15" hidden="false" customHeight="false" outlineLevel="0" collapsed="false">
      <c r="A1405" s="0" t="s">
        <v>3465</v>
      </c>
      <c r="B1405" s="0" t="s">
        <v>1184</v>
      </c>
      <c r="C1405" s="0" t="s">
        <v>743</v>
      </c>
      <c r="D1405" s="2" t="s">
        <v>23</v>
      </c>
      <c r="E1405" s="0" t="str">
        <f aca="false">VLOOKUP(D1405,Fornitori!$A$2:$C$6,2,FALSE())</f>
        <v>Pneumax Service</v>
      </c>
      <c r="F1405" s="0" t="n">
        <v>31</v>
      </c>
      <c r="G1405" s="0" t="n">
        <v>14</v>
      </c>
      <c r="H1405" s="0" t="str">
        <f aca="false">IF(F1405&lt;G1405,"SI","NO")</f>
        <v>NO</v>
      </c>
    </row>
    <row r="1406" customFormat="false" ht="15" hidden="false" customHeight="false" outlineLevel="0" collapsed="false">
      <c r="A1406" s="0" t="s">
        <v>3466</v>
      </c>
      <c r="B1406" s="0" t="s">
        <v>3467</v>
      </c>
      <c r="C1406" s="0" t="s">
        <v>191</v>
      </c>
      <c r="D1406" s="2" t="s">
        <v>27</v>
      </c>
      <c r="E1406" s="0" t="str">
        <f aca="false">VLOOKUP(D1406,Fornitori!$A$2:$C$6,2,FALSE())</f>
        <v>Guarnizioni Alpi</v>
      </c>
      <c r="F1406" s="0" t="n">
        <v>33</v>
      </c>
      <c r="G1406" s="0" t="n">
        <v>12</v>
      </c>
      <c r="H1406" s="0" t="str">
        <f aca="false">IF(F1406&lt;G1406,"SI","NO")</f>
        <v>NO</v>
      </c>
    </row>
    <row r="1407" customFormat="false" ht="15" hidden="false" customHeight="false" outlineLevel="0" collapsed="false">
      <c r="A1407" s="0" t="s">
        <v>3468</v>
      </c>
      <c r="B1407" s="0" t="s">
        <v>3469</v>
      </c>
      <c r="C1407" s="0" t="s">
        <v>831</v>
      </c>
      <c r="D1407" s="2" t="s">
        <v>11</v>
      </c>
      <c r="E1407" s="0" t="str">
        <f aca="false">VLOOKUP(D1407,Fornitori!$A$2:$C$6,2,FALSE())</f>
        <v>Meccanica Bassi S.r.l.</v>
      </c>
      <c r="F1407" s="0" t="n">
        <v>47</v>
      </c>
      <c r="G1407" s="0" t="n">
        <v>22</v>
      </c>
      <c r="H1407" s="0" t="str">
        <f aca="false">IF(F1407&lt;G1407,"SI","NO")</f>
        <v>NO</v>
      </c>
    </row>
    <row r="1408" customFormat="false" ht="15" hidden="false" customHeight="false" outlineLevel="0" collapsed="false">
      <c r="A1408" s="0" t="s">
        <v>3470</v>
      </c>
      <c r="B1408" s="0" t="s">
        <v>1879</v>
      </c>
      <c r="C1408" s="0" t="s">
        <v>2335</v>
      </c>
      <c r="D1408" s="2" t="s">
        <v>15</v>
      </c>
      <c r="E1408" s="0" t="str">
        <f aca="false">VLOOKUP(D1408,Fornitori!$A$2:$C$6,2,FALSE())</f>
        <v>Rulmeca Italia</v>
      </c>
      <c r="F1408" s="0" t="n">
        <v>32</v>
      </c>
      <c r="G1408" s="0" t="n">
        <v>13</v>
      </c>
      <c r="H1408" s="0" t="str">
        <f aca="false">IF(F1408&lt;G1408,"SI","NO")</f>
        <v>NO</v>
      </c>
    </row>
    <row r="1409" customFormat="false" ht="15" hidden="false" customHeight="false" outlineLevel="0" collapsed="false">
      <c r="A1409" s="0" t="s">
        <v>3471</v>
      </c>
      <c r="B1409" s="0" t="s">
        <v>3472</v>
      </c>
      <c r="C1409" s="0" t="s">
        <v>2759</v>
      </c>
      <c r="D1409" s="2" t="s">
        <v>19</v>
      </c>
      <c r="E1409" s="0" t="str">
        <f aca="false">VLOOKUP(D1409,Fornitori!$A$2:$C$6,2,FALSE())</f>
        <v>Elettrotecnica Ferri</v>
      </c>
      <c r="F1409" s="0" t="n">
        <v>52</v>
      </c>
      <c r="G1409" s="0" t="n">
        <v>12</v>
      </c>
      <c r="H1409" s="0" t="str">
        <f aca="false">IF(F1409&lt;G1409,"SI","NO")</f>
        <v>NO</v>
      </c>
    </row>
    <row r="1410" customFormat="false" ht="15" hidden="false" customHeight="false" outlineLevel="0" collapsed="false">
      <c r="A1410" s="0" t="s">
        <v>3473</v>
      </c>
      <c r="B1410" s="0" t="s">
        <v>3083</v>
      </c>
      <c r="C1410" s="0" t="s">
        <v>3474</v>
      </c>
      <c r="D1410" s="2" t="s">
        <v>23</v>
      </c>
      <c r="E1410" s="0" t="str">
        <f aca="false">VLOOKUP(D1410,Fornitori!$A$2:$C$6,2,FALSE())</f>
        <v>Pneumax Service</v>
      </c>
      <c r="F1410" s="0" t="n">
        <v>54</v>
      </c>
      <c r="G1410" s="0" t="n">
        <v>9</v>
      </c>
      <c r="H1410" s="0" t="str">
        <f aca="false">IF(F1410&lt;G1410,"SI","NO")</f>
        <v>NO</v>
      </c>
    </row>
    <row r="1411" customFormat="false" ht="15" hidden="false" customHeight="false" outlineLevel="0" collapsed="false">
      <c r="A1411" s="0" t="s">
        <v>3475</v>
      </c>
      <c r="B1411" s="0" t="s">
        <v>3476</v>
      </c>
      <c r="C1411" s="0" t="s">
        <v>638</v>
      </c>
      <c r="D1411" s="2" t="s">
        <v>27</v>
      </c>
      <c r="E1411" s="0" t="str">
        <f aca="false">VLOOKUP(D1411,Fornitori!$A$2:$C$6,2,FALSE())</f>
        <v>Guarnizioni Alpi</v>
      </c>
      <c r="F1411" s="0" t="n">
        <v>55</v>
      </c>
      <c r="G1411" s="0" t="n">
        <v>11</v>
      </c>
      <c r="H1411" s="0" t="str">
        <f aca="false">IF(F1411&lt;G1411,"SI","NO")</f>
        <v>NO</v>
      </c>
    </row>
    <row r="1412" customFormat="false" ht="15" hidden="false" customHeight="false" outlineLevel="0" collapsed="false">
      <c r="A1412" s="0" t="s">
        <v>3477</v>
      </c>
      <c r="B1412" s="0" t="s">
        <v>513</v>
      </c>
      <c r="C1412" s="0" t="s">
        <v>351</v>
      </c>
      <c r="D1412" s="2" t="s">
        <v>11</v>
      </c>
      <c r="E1412" s="0" t="str">
        <f aca="false">VLOOKUP(D1412,Fornitori!$A$2:$C$6,2,FALSE())</f>
        <v>Meccanica Bassi S.r.l.</v>
      </c>
      <c r="F1412" s="0" t="n">
        <v>17</v>
      </c>
      <c r="G1412" s="0" t="n">
        <v>19</v>
      </c>
      <c r="H1412" s="0" t="str">
        <f aca="false">IF(F1412&lt;G1412,"SI","NO")</f>
        <v>SI</v>
      </c>
    </row>
    <row r="1413" customFormat="false" ht="15" hidden="false" customHeight="false" outlineLevel="0" collapsed="false">
      <c r="A1413" s="0" t="s">
        <v>3478</v>
      </c>
      <c r="B1413" s="0" t="s">
        <v>3479</v>
      </c>
      <c r="C1413" s="0" t="s">
        <v>273</v>
      </c>
      <c r="D1413" s="2" t="s">
        <v>15</v>
      </c>
      <c r="E1413" s="0" t="str">
        <f aca="false">VLOOKUP(D1413,Fornitori!$A$2:$C$6,2,FALSE())</f>
        <v>Rulmeca Italia</v>
      </c>
      <c r="F1413" s="0" t="n">
        <v>58</v>
      </c>
      <c r="G1413" s="0" t="n">
        <v>12</v>
      </c>
      <c r="H1413" s="0" t="str">
        <f aca="false">IF(F1413&lt;G1413,"SI","NO")</f>
        <v>NO</v>
      </c>
    </row>
    <row r="1414" customFormat="false" ht="15" hidden="false" customHeight="false" outlineLevel="0" collapsed="false">
      <c r="A1414" s="0" t="s">
        <v>3480</v>
      </c>
      <c r="B1414" s="0" t="s">
        <v>3481</v>
      </c>
      <c r="C1414" s="0" t="s">
        <v>3482</v>
      </c>
      <c r="D1414" s="2" t="s">
        <v>19</v>
      </c>
      <c r="E1414" s="0" t="str">
        <f aca="false">VLOOKUP(D1414,Fornitori!$A$2:$C$6,2,FALSE())</f>
        <v>Elettrotecnica Ferri</v>
      </c>
      <c r="F1414" s="0" t="n">
        <v>3</v>
      </c>
      <c r="G1414" s="0" t="n">
        <v>13</v>
      </c>
      <c r="H1414" s="0" t="str">
        <f aca="false">IF(F1414&lt;G1414,"SI","NO")</f>
        <v>SI</v>
      </c>
    </row>
    <row r="1415" customFormat="false" ht="15" hidden="false" customHeight="false" outlineLevel="0" collapsed="false">
      <c r="A1415" s="0" t="s">
        <v>3483</v>
      </c>
      <c r="B1415" s="0" t="s">
        <v>1206</v>
      </c>
      <c r="C1415" s="0" t="s">
        <v>2806</v>
      </c>
      <c r="D1415" s="2" t="s">
        <v>23</v>
      </c>
      <c r="E1415" s="0" t="str">
        <f aca="false">VLOOKUP(D1415,Fornitori!$A$2:$C$6,2,FALSE())</f>
        <v>Pneumax Service</v>
      </c>
      <c r="F1415" s="0" t="n">
        <v>58</v>
      </c>
      <c r="G1415" s="0" t="n">
        <v>23</v>
      </c>
      <c r="H1415" s="0" t="str">
        <f aca="false">IF(F1415&lt;G1415,"SI","NO")</f>
        <v>NO</v>
      </c>
    </row>
    <row r="1416" customFormat="false" ht="15" hidden="false" customHeight="false" outlineLevel="0" collapsed="false">
      <c r="A1416" s="0" t="s">
        <v>3484</v>
      </c>
      <c r="B1416" s="0" t="s">
        <v>1582</v>
      </c>
      <c r="C1416" s="0" t="s">
        <v>1408</v>
      </c>
      <c r="D1416" s="2" t="s">
        <v>27</v>
      </c>
      <c r="E1416" s="0" t="str">
        <f aca="false">VLOOKUP(D1416,Fornitori!$A$2:$C$6,2,FALSE())</f>
        <v>Guarnizioni Alpi</v>
      </c>
      <c r="F1416" s="0" t="n">
        <v>13</v>
      </c>
      <c r="G1416" s="0" t="n">
        <v>22</v>
      </c>
      <c r="H1416" s="0" t="str">
        <f aca="false">IF(F1416&lt;G1416,"SI","NO")</f>
        <v>SI</v>
      </c>
    </row>
    <row r="1417" customFormat="false" ht="15" hidden="false" customHeight="false" outlineLevel="0" collapsed="false">
      <c r="A1417" s="0" t="s">
        <v>3485</v>
      </c>
      <c r="B1417" s="0" t="s">
        <v>3486</v>
      </c>
      <c r="C1417" s="0" t="s">
        <v>1685</v>
      </c>
      <c r="D1417" s="2" t="s">
        <v>11</v>
      </c>
      <c r="E1417" s="0" t="str">
        <f aca="false">VLOOKUP(D1417,Fornitori!$A$2:$C$6,2,FALSE())</f>
        <v>Meccanica Bassi S.r.l.</v>
      </c>
      <c r="F1417" s="0" t="n">
        <v>29</v>
      </c>
      <c r="G1417" s="0" t="n">
        <v>7</v>
      </c>
      <c r="H1417" s="0" t="str">
        <f aca="false">IF(F1417&lt;G1417,"SI","NO")</f>
        <v>NO</v>
      </c>
    </row>
    <row r="1418" customFormat="false" ht="15" hidden="false" customHeight="false" outlineLevel="0" collapsed="false">
      <c r="A1418" s="0" t="s">
        <v>3487</v>
      </c>
      <c r="B1418" s="0" t="s">
        <v>3488</v>
      </c>
      <c r="C1418" s="0" t="s">
        <v>3489</v>
      </c>
      <c r="D1418" s="2" t="s">
        <v>15</v>
      </c>
      <c r="E1418" s="0" t="str">
        <f aca="false">VLOOKUP(D1418,Fornitori!$A$2:$C$6,2,FALSE())</f>
        <v>Rulmeca Italia</v>
      </c>
      <c r="F1418" s="0" t="n">
        <v>16</v>
      </c>
      <c r="G1418" s="0" t="n">
        <v>8</v>
      </c>
      <c r="H1418" s="0" t="str">
        <f aca="false">IF(F1418&lt;G1418,"SI","NO")</f>
        <v>NO</v>
      </c>
    </row>
    <row r="1419" customFormat="false" ht="15" hidden="false" customHeight="false" outlineLevel="0" collapsed="false">
      <c r="A1419" s="0" t="s">
        <v>3490</v>
      </c>
      <c r="B1419" s="0" t="s">
        <v>3491</v>
      </c>
      <c r="C1419" s="0" t="s">
        <v>724</v>
      </c>
      <c r="D1419" s="2" t="s">
        <v>19</v>
      </c>
      <c r="E1419" s="0" t="str">
        <f aca="false">VLOOKUP(D1419,Fornitori!$A$2:$C$6,2,FALSE())</f>
        <v>Elettrotecnica Ferri</v>
      </c>
      <c r="F1419" s="0" t="n">
        <v>6</v>
      </c>
      <c r="G1419" s="0" t="n">
        <v>15</v>
      </c>
      <c r="H1419" s="0" t="str">
        <f aca="false">IF(F1419&lt;G1419,"SI","NO")</f>
        <v>SI</v>
      </c>
    </row>
    <row r="1420" customFormat="false" ht="15" hidden="false" customHeight="false" outlineLevel="0" collapsed="false">
      <c r="A1420" s="0" t="s">
        <v>3492</v>
      </c>
      <c r="B1420" s="0" t="s">
        <v>3493</v>
      </c>
      <c r="C1420" s="0" t="s">
        <v>3494</v>
      </c>
      <c r="D1420" s="2" t="s">
        <v>23</v>
      </c>
      <c r="E1420" s="0" t="str">
        <f aca="false">VLOOKUP(D1420,Fornitori!$A$2:$C$6,2,FALSE())</f>
        <v>Pneumax Service</v>
      </c>
      <c r="F1420" s="0" t="n">
        <v>9</v>
      </c>
      <c r="G1420" s="0" t="n">
        <v>13</v>
      </c>
      <c r="H1420" s="0" t="str">
        <f aca="false">IF(F1420&lt;G1420,"SI","NO")</f>
        <v>SI</v>
      </c>
    </row>
    <row r="1421" customFormat="false" ht="15" hidden="false" customHeight="false" outlineLevel="0" collapsed="false">
      <c r="A1421" s="0" t="s">
        <v>3495</v>
      </c>
      <c r="B1421" s="0" t="s">
        <v>1174</v>
      </c>
      <c r="C1421" s="0" t="s">
        <v>2467</v>
      </c>
      <c r="D1421" s="2" t="s">
        <v>27</v>
      </c>
      <c r="E1421" s="0" t="str">
        <f aca="false">VLOOKUP(D1421,Fornitori!$A$2:$C$6,2,FALSE())</f>
        <v>Guarnizioni Alpi</v>
      </c>
      <c r="F1421" s="0" t="n">
        <v>48</v>
      </c>
      <c r="G1421" s="0" t="n">
        <v>7</v>
      </c>
      <c r="H1421" s="0" t="str">
        <f aca="false">IF(F1421&lt;G1421,"SI","NO")</f>
        <v>NO</v>
      </c>
    </row>
    <row r="1422" customFormat="false" ht="15" hidden="false" customHeight="false" outlineLevel="0" collapsed="false">
      <c r="A1422" s="0" t="s">
        <v>3496</v>
      </c>
      <c r="B1422" s="0" t="s">
        <v>3497</v>
      </c>
      <c r="C1422" s="0" t="s">
        <v>3498</v>
      </c>
      <c r="D1422" s="2" t="s">
        <v>11</v>
      </c>
      <c r="E1422" s="0" t="str">
        <f aca="false">VLOOKUP(D1422,Fornitori!$A$2:$C$6,2,FALSE())</f>
        <v>Meccanica Bassi S.r.l.</v>
      </c>
      <c r="F1422" s="0" t="n">
        <v>6</v>
      </c>
      <c r="G1422" s="0" t="n">
        <v>12</v>
      </c>
      <c r="H1422" s="0" t="str">
        <f aca="false">IF(F1422&lt;G1422,"SI","NO")</f>
        <v>SI</v>
      </c>
    </row>
    <row r="1423" customFormat="false" ht="15" hidden="false" customHeight="false" outlineLevel="0" collapsed="false">
      <c r="A1423" s="0" t="s">
        <v>3499</v>
      </c>
      <c r="B1423" s="0" t="s">
        <v>2898</v>
      </c>
      <c r="C1423" s="0" t="s">
        <v>1933</v>
      </c>
      <c r="D1423" s="2" t="s">
        <v>15</v>
      </c>
      <c r="E1423" s="0" t="str">
        <f aca="false">VLOOKUP(D1423,Fornitori!$A$2:$C$6,2,FALSE())</f>
        <v>Rulmeca Italia</v>
      </c>
      <c r="F1423" s="0" t="n">
        <v>4</v>
      </c>
      <c r="G1423" s="0" t="n">
        <v>17</v>
      </c>
      <c r="H1423" s="0" t="str">
        <f aca="false">IF(F1423&lt;G1423,"SI","NO")</f>
        <v>SI</v>
      </c>
    </row>
    <row r="1424" customFormat="false" ht="15" hidden="false" customHeight="false" outlineLevel="0" collapsed="false">
      <c r="A1424" s="0" t="s">
        <v>3500</v>
      </c>
      <c r="B1424" s="0" t="s">
        <v>3501</v>
      </c>
      <c r="C1424" s="0" t="s">
        <v>430</v>
      </c>
      <c r="D1424" s="2" t="s">
        <v>19</v>
      </c>
      <c r="E1424" s="0" t="str">
        <f aca="false">VLOOKUP(D1424,Fornitori!$A$2:$C$6,2,FALSE())</f>
        <v>Elettrotecnica Ferri</v>
      </c>
      <c r="F1424" s="0" t="n">
        <v>34</v>
      </c>
      <c r="G1424" s="0" t="n">
        <v>21</v>
      </c>
      <c r="H1424" s="0" t="str">
        <f aca="false">IF(F1424&lt;G1424,"SI","NO")</f>
        <v>NO</v>
      </c>
    </row>
    <row r="1425" customFormat="false" ht="15" hidden="false" customHeight="false" outlineLevel="0" collapsed="false">
      <c r="A1425" s="0" t="s">
        <v>3502</v>
      </c>
      <c r="B1425" s="0" t="s">
        <v>3503</v>
      </c>
      <c r="C1425" s="0" t="s">
        <v>105</v>
      </c>
      <c r="D1425" s="2" t="s">
        <v>23</v>
      </c>
      <c r="E1425" s="0" t="str">
        <f aca="false">VLOOKUP(D1425,Fornitori!$A$2:$C$6,2,FALSE())</f>
        <v>Pneumax Service</v>
      </c>
      <c r="F1425" s="0" t="n">
        <v>53</v>
      </c>
      <c r="G1425" s="0" t="n">
        <v>15</v>
      </c>
      <c r="H1425" s="0" t="str">
        <f aca="false">IF(F1425&lt;G1425,"SI","NO")</f>
        <v>NO</v>
      </c>
    </row>
    <row r="1426" customFormat="false" ht="15" hidden="false" customHeight="false" outlineLevel="0" collapsed="false">
      <c r="A1426" s="0" t="s">
        <v>3504</v>
      </c>
      <c r="B1426" s="0" t="s">
        <v>2796</v>
      </c>
      <c r="C1426" s="0" t="s">
        <v>887</v>
      </c>
      <c r="D1426" s="2" t="s">
        <v>27</v>
      </c>
      <c r="E1426" s="0" t="str">
        <f aca="false">VLOOKUP(D1426,Fornitori!$A$2:$C$6,2,FALSE())</f>
        <v>Guarnizioni Alpi</v>
      </c>
      <c r="F1426" s="0" t="n">
        <v>3</v>
      </c>
      <c r="G1426" s="0" t="n">
        <v>12</v>
      </c>
      <c r="H1426" s="0" t="str">
        <f aca="false">IF(F1426&lt;G1426,"SI","NO")</f>
        <v>SI</v>
      </c>
    </row>
    <row r="1427" customFormat="false" ht="15" hidden="false" customHeight="false" outlineLevel="0" collapsed="false">
      <c r="A1427" s="0" t="s">
        <v>3505</v>
      </c>
      <c r="B1427" s="0" t="s">
        <v>3506</v>
      </c>
      <c r="C1427" s="0" t="s">
        <v>2993</v>
      </c>
      <c r="D1427" s="2" t="s">
        <v>11</v>
      </c>
      <c r="E1427" s="0" t="str">
        <f aca="false">VLOOKUP(D1427,Fornitori!$A$2:$C$6,2,FALSE())</f>
        <v>Meccanica Bassi S.r.l.</v>
      </c>
      <c r="F1427" s="0" t="n">
        <v>22</v>
      </c>
      <c r="G1427" s="0" t="n">
        <v>8</v>
      </c>
      <c r="H1427" s="0" t="str">
        <f aca="false">IF(F1427&lt;G1427,"SI","NO")</f>
        <v>NO</v>
      </c>
    </row>
    <row r="1428" customFormat="false" ht="15" hidden="false" customHeight="false" outlineLevel="0" collapsed="false">
      <c r="A1428" s="0" t="s">
        <v>3507</v>
      </c>
      <c r="B1428" s="0" t="s">
        <v>3508</v>
      </c>
      <c r="C1428" s="0" t="s">
        <v>3509</v>
      </c>
      <c r="D1428" s="2" t="s">
        <v>15</v>
      </c>
      <c r="E1428" s="0" t="str">
        <f aca="false">VLOOKUP(D1428,Fornitori!$A$2:$C$6,2,FALSE())</f>
        <v>Rulmeca Italia</v>
      </c>
      <c r="F1428" s="0" t="n">
        <v>13</v>
      </c>
      <c r="G1428" s="0" t="n">
        <v>9</v>
      </c>
      <c r="H1428" s="0" t="str">
        <f aca="false">IF(F1428&lt;G1428,"SI","NO")</f>
        <v>NO</v>
      </c>
    </row>
    <row r="1429" customFormat="false" ht="15" hidden="false" customHeight="false" outlineLevel="0" collapsed="false">
      <c r="A1429" s="0" t="s">
        <v>3510</v>
      </c>
      <c r="B1429" s="0" t="s">
        <v>3511</v>
      </c>
      <c r="C1429" s="0" t="s">
        <v>278</v>
      </c>
      <c r="D1429" s="2" t="s">
        <v>19</v>
      </c>
      <c r="E1429" s="0" t="str">
        <f aca="false">VLOOKUP(D1429,Fornitori!$A$2:$C$6,2,FALSE())</f>
        <v>Elettrotecnica Ferri</v>
      </c>
      <c r="F1429" s="0" t="n">
        <v>54</v>
      </c>
      <c r="G1429" s="0" t="n">
        <v>5</v>
      </c>
      <c r="H1429" s="0" t="str">
        <f aca="false">IF(F1429&lt;G1429,"SI","NO")</f>
        <v>NO</v>
      </c>
    </row>
    <row r="1430" customFormat="false" ht="15" hidden="false" customHeight="false" outlineLevel="0" collapsed="false">
      <c r="A1430" s="0" t="s">
        <v>3512</v>
      </c>
      <c r="B1430" s="0" t="s">
        <v>98</v>
      </c>
      <c r="C1430" s="0" t="s">
        <v>3513</v>
      </c>
      <c r="D1430" s="2" t="s">
        <v>23</v>
      </c>
      <c r="E1430" s="0" t="str">
        <f aca="false">VLOOKUP(D1430,Fornitori!$A$2:$C$6,2,FALSE())</f>
        <v>Pneumax Service</v>
      </c>
      <c r="F1430" s="0" t="n">
        <v>16</v>
      </c>
      <c r="G1430" s="0" t="n">
        <v>11</v>
      </c>
      <c r="H1430" s="0" t="str">
        <f aca="false">IF(F1430&lt;G1430,"SI","NO")</f>
        <v>NO</v>
      </c>
    </row>
    <row r="1431" customFormat="false" ht="15" hidden="false" customHeight="false" outlineLevel="0" collapsed="false">
      <c r="A1431" s="0" t="s">
        <v>3514</v>
      </c>
      <c r="B1431" s="0" t="s">
        <v>3515</v>
      </c>
      <c r="C1431" s="0" t="s">
        <v>116</v>
      </c>
      <c r="D1431" s="2" t="s">
        <v>27</v>
      </c>
      <c r="E1431" s="0" t="str">
        <f aca="false">VLOOKUP(D1431,Fornitori!$A$2:$C$6,2,FALSE())</f>
        <v>Guarnizioni Alpi</v>
      </c>
      <c r="F1431" s="0" t="n">
        <v>38</v>
      </c>
      <c r="G1431" s="0" t="n">
        <v>5</v>
      </c>
      <c r="H1431" s="0" t="str">
        <f aca="false">IF(F1431&lt;G1431,"SI","NO")</f>
        <v>NO</v>
      </c>
    </row>
    <row r="1432" customFormat="false" ht="15" hidden="false" customHeight="false" outlineLevel="0" collapsed="false">
      <c r="A1432" s="0" t="s">
        <v>3516</v>
      </c>
      <c r="B1432" s="0" t="s">
        <v>3517</v>
      </c>
      <c r="C1432" s="0" t="s">
        <v>1577</v>
      </c>
      <c r="D1432" s="2" t="s">
        <v>11</v>
      </c>
      <c r="E1432" s="0" t="str">
        <f aca="false">VLOOKUP(D1432,Fornitori!$A$2:$C$6,2,FALSE())</f>
        <v>Meccanica Bassi S.r.l.</v>
      </c>
      <c r="F1432" s="0" t="n">
        <v>49</v>
      </c>
      <c r="G1432" s="0" t="n">
        <v>21</v>
      </c>
      <c r="H1432" s="0" t="str">
        <f aca="false">IF(F1432&lt;G1432,"SI","NO")</f>
        <v>NO</v>
      </c>
    </row>
    <row r="1433" customFormat="false" ht="15" hidden="false" customHeight="false" outlineLevel="0" collapsed="false">
      <c r="A1433" s="0" t="s">
        <v>3518</v>
      </c>
      <c r="B1433" s="0" t="s">
        <v>3519</v>
      </c>
      <c r="C1433" s="0" t="s">
        <v>1224</v>
      </c>
      <c r="D1433" s="2" t="s">
        <v>15</v>
      </c>
      <c r="E1433" s="0" t="str">
        <f aca="false">VLOOKUP(D1433,Fornitori!$A$2:$C$6,2,FALSE())</f>
        <v>Rulmeca Italia</v>
      </c>
      <c r="F1433" s="0" t="n">
        <v>41</v>
      </c>
      <c r="G1433" s="0" t="n">
        <v>6</v>
      </c>
      <c r="H1433" s="0" t="str">
        <f aca="false">IF(F1433&lt;G1433,"SI","NO")</f>
        <v>NO</v>
      </c>
    </row>
    <row r="1434" customFormat="false" ht="15" hidden="false" customHeight="false" outlineLevel="0" collapsed="false">
      <c r="A1434" s="0" t="s">
        <v>3520</v>
      </c>
      <c r="B1434" s="0" t="s">
        <v>1674</v>
      </c>
      <c r="C1434" s="0" t="s">
        <v>913</v>
      </c>
      <c r="D1434" s="2" t="s">
        <v>19</v>
      </c>
      <c r="E1434" s="0" t="str">
        <f aca="false">VLOOKUP(D1434,Fornitori!$A$2:$C$6,2,FALSE())</f>
        <v>Elettrotecnica Ferri</v>
      </c>
      <c r="F1434" s="0" t="n">
        <v>50</v>
      </c>
      <c r="G1434" s="0" t="n">
        <v>17</v>
      </c>
      <c r="H1434" s="0" t="str">
        <f aca="false">IF(F1434&lt;G1434,"SI","NO")</f>
        <v>NO</v>
      </c>
    </row>
    <row r="1435" customFormat="false" ht="15" hidden="false" customHeight="false" outlineLevel="0" collapsed="false">
      <c r="A1435" s="0" t="s">
        <v>3521</v>
      </c>
      <c r="B1435" s="0" t="s">
        <v>3522</v>
      </c>
      <c r="C1435" s="0" t="s">
        <v>1982</v>
      </c>
      <c r="D1435" s="2" t="s">
        <v>23</v>
      </c>
      <c r="E1435" s="0" t="str">
        <f aca="false">VLOOKUP(D1435,Fornitori!$A$2:$C$6,2,FALSE())</f>
        <v>Pneumax Service</v>
      </c>
      <c r="F1435" s="0" t="n">
        <v>58</v>
      </c>
      <c r="G1435" s="0" t="n">
        <v>12</v>
      </c>
      <c r="H1435" s="0" t="str">
        <f aca="false">IF(F1435&lt;G1435,"SI","NO")</f>
        <v>NO</v>
      </c>
    </row>
    <row r="1436" customFormat="false" ht="15" hidden="false" customHeight="false" outlineLevel="0" collapsed="false">
      <c r="A1436" s="0" t="s">
        <v>3523</v>
      </c>
      <c r="B1436" s="0" t="s">
        <v>3524</v>
      </c>
      <c r="C1436" s="0" t="s">
        <v>3261</v>
      </c>
      <c r="D1436" s="2" t="s">
        <v>27</v>
      </c>
      <c r="E1436" s="0" t="str">
        <f aca="false">VLOOKUP(D1436,Fornitori!$A$2:$C$6,2,FALSE())</f>
        <v>Guarnizioni Alpi</v>
      </c>
      <c r="F1436" s="0" t="n">
        <v>43</v>
      </c>
      <c r="G1436" s="0" t="n">
        <v>18</v>
      </c>
      <c r="H1436" s="0" t="str">
        <f aca="false">IF(F1436&lt;G1436,"SI","NO")</f>
        <v>NO</v>
      </c>
    </row>
    <row r="1437" customFormat="false" ht="15" hidden="false" customHeight="false" outlineLevel="0" collapsed="false">
      <c r="A1437" s="0" t="s">
        <v>3525</v>
      </c>
      <c r="B1437" s="0" t="s">
        <v>3038</v>
      </c>
      <c r="C1437" s="0" t="s">
        <v>816</v>
      </c>
      <c r="D1437" s="2" t="s">
        <v>11</v>
      </c>
      <c r="E1437" s="0" t="str">
        <f aca="false">VLOOKUP(D1437,Fornitori!$A$2:$C$6,2,FALSE())</f>
        <v>Meccanica Bassi S.r.l.</v>
      </c>
      <c r="F1437" s="0" t="n">
        <v>27</v>
      </c>
      <c r="G1437" s="0" t="n">
        <v>10</v>
      </c>
      <c r="H1437" s="0" t="str">
        <f aca="false">IF(F1437&lt;G1437,"SI","NO")</f>
        <v>NO</v>
      </c>
    </row>
    <row r="1438" customFormat="false" ht="15" hidden="false" customHeight="false" outlineLevel="0" collapsed="false">
      <c r="A1438" s="0" t="s">
        <v>3526</v>
      </c>
      <c r="B1438" s="0" t="s">
        <v>3527</v>
      </c>
      <c r="C1438" s="0" t="s">
        <v>54</v>
      </c>
      <c r="D1438" s="2" t="s">
        <v>15</v>
      </c>
      <c r="E1438" s="0" t="str">
        <f aca="false">VLOOKUP(D1438,Fornitori!$A$2:$C$6,2,FALSE())</f>
        <v>Rulmeca Italia</v>
      </c>
      <c r="F1438" s="0" t="n">
        <v>0</v>
      </c>
      <c r="G1438" s="0" t="n">
        <v>9</v>
      </c>
      <c r="H1438" s="0" t="str">
        <f aca="false">IF(F1438&lt;G1438,"SI","NO")</f>
        <v>SI</v>
      </c>
    </row>
    <row r="1439" customFormat="false" ht="15" hidden="false" customHeight="false" outlineLevel="0" collapsed="false">
      <c r="A1439" s="0" t="s">
        <v>3528</v>
      </c>
      <c r="B1439" s="0" t="s">
        <v>3529</v>
      </c>
      <c r="C1439" s="0" t="s">
        <v>1072</v>
      </c>
      <c r="D1439" s="2" t="s">
        <v>19</v>
      </c>
      <c r="E1439" s="0" t="str">
        <f aca="false">VLOOKUP(D1439,Fornitori!$A$2:$C$6,2,FALSE())</f>
        <v>Elettrotecnica Ferri</v>
      </c>
      <c r="F1439" s="0" t="n">
        <v>38</v>
      </c>
      <c r="G1439" s="0" t="n">
        <v>20</v>
      </c>
      <c r="H1439" s="0" t="str">
        <f aca="false">IF(F1439&lt;G1439,"SI","NO")</f>
        <v>NO</v>
      </c>
    </row>
    <row r="1440" customFormat="false" ht="15" hidden="false" customHeight="false" outlineLevel="0" collapsed="false">
      <c r="A1440" s="0" t="s">
        <v>3530</v>
      </c>
      <c r="B1440" s="0" t="s">
        <v>3024</v>
      </c>
      <c r="C1440" s="0" t="s">
        <v>3531</v>
      </c>
      <c r="D1440" s="2" t="s">
        <v>23</v>
      </c>
      <c r="E1440" s="0" t="str">
        <f aca="false">VLOOKUP(D1440,Fornitori!$A$2:$C$6,2,FALSE())</f>
        <v>Pneumax Service</v>
      </c>
      <c r="F1440" s="0" t="n">
        <v>16</v>
      </c>
      <c r="G1440" s="0" t="n">
        <v>9</v>
      </c>
      <c r="H1440" s="0" t="str">
        <f aca="false">IF(F1440&lt;G1440,"SI","NO")</f>
        <v>NO</v>
      </c>
    </row>
    <row r="1441" customFormat="false" ht="15" hidden="false" customHeight="false" outlineLevel="0" collapsed="false">
      <c r="A1441" s="0" t="s">
        <v>3532</v>
      </c>
      <c r="B1441" s="0" t="s">
        <v>3533</v>
      </c>
      <c r="C1441" s="0" t="s">
        <v>580</v>
      </c>
      <c r="D1441" s="2" t="s">
        <v>27</v>
      </c>
      <c r="E1441" s="0" t="str">
        <f aca="false">VLOOKUP(D1441,Fornitori!$A$2:$C$6,2,FALSE())</f>
        <v>Guarnizioni Alpi</v>
      </c>
      <c r="F1441" s="0" t="n">
        <v>52</v>
      </c>
      <c r="G1441" s="0" t="n">
        <v>20</v>
      </c>
      <c r="H1441" s="0" t="str">
        <f aca="false">IF(F1441&lt;G1441,"SI","NO")</f>
        <v>NO</v>
      </c>
    </row>
    <row r="1442" customFormat="false" ht="15" hidden="false" customHeight="false" outlineLevel="0" collapsed="false">
      <c r="A1442" s="0" t="s">
        <v>3534</v>
      </c>
      <c r="B1442" s="0" t="s">
        <v>3535</v>
      </c>
      <c r="C1442" s="0" t="s">
        <v>3536</v>
      </c>
      <c r="D1442" s="2" t="s">
        <v>11</v>
      </c>
      <c r="E1442" s="0" t="str">
        <f aca="false">VLOOKUP(D1442,Fornitori!$A$2:$C$6,2,FALSE())</f>
        <v>Meccanica Bassi S.r.l.</v>
      </c>
      <c r="F1442" s="0" t="n">
        <v>53</v>
      </c>
      <c r="G1442" s="0" t="n">
        <v>14</v>
      </c>
      <c r="H1442" s="0" t="str">
        <f aca="false">IF(F1442&lt;G1442,"SI","NO")</f>
        <v>NO</v>
      </c>
    </row>
    <row r="1443" customFormat="false" ht="15" hidden="false" customHeight="false" outlineLevel="0" collapsed="false">
      <c r="A1443" s="0" t="s">
        <v>3537</v>
      </c>
      <c r="B1443" s="0" t="s">
        <v>3538</v>
      </c>
      <c r="C1443" s="0" t="s">
        <v>1869</v>
      </c>
      <c r="D1443" s="2" t="s">
        <v>15</v>
      </c>
      <c r="E1443" s="0" t="str">
        <f aca="false">VLOOKUP(D1443,Fornitori!$A$2:$C$6,2,FALSE())</f>
        <v>Rulmeca Italia</v>
      </c>
      <c r="F1443" s="0" t="n">
        <v>40</v>
      </c>
      <c r="G1443" s="0" t="n">
        <v>24</v>
      </c>
      <c r="H1443" s="0" t="str">
        <f aca="false">IF(F1443&lt;G1443,"SI","NO")</f>
        <v>NO</v>
      </c>
    </row>
    <row r="1444" customFormat="false" ht="15" hidden="false" customHeight="false" outlineLevel="0" collapsed="false">
      <c r="A1444" s="0" t="s">
        <v>3539</v>
      </c>
      <c r="B1444" s="0" t="s">
        <v>3540</v>
      </c>
      <c r="C1444" s="0" t="s">
        <v>824</v>
      </c>
      <c r="D1444" s="2" t="s">
        <v>19</v>
      </c>
      <c r="E1444" s="0" t="str">
        <f aca="false">VLOOKUP(D1444,Fornitori!$A$2:$C$6,2,FALSE())</f>
        <v>Elettrotecnica Ferri</v>
      </c>
      <c r="F1444" s="0" t="n">
        <v>28</v>
      </c>
      <c r="G1444" s="0" t="n">
        <v>13</v>
      </c>
      <c r="H1444" s="0" t="str">
        <f aca="false">IF(F1444&lt;G1444,"SI","NO")</f>
        <v>NO</v>
      </c>
    </row>
    <row r="1445" customFormat="false" ht="15" hidden="false" customHeight="false" outlineLevel="0" collapsed="false">
      <c r="A1445" s="0" t="s">
        <v>3541</v>
      </c>
      <c r="B1445" s="0" t="s">
        <v>2485</v>
      </c>
      <c r="C1445" s="0" t="s">
        <v>415</v>
      </c>
      <c r="D1445" s="2" t="s">
        <v>23</v>
      </c>
      <c r="E1445" s="0" t="str">
        <f aca="false">VLOOKUP(D1445,Fornitori!$A$2:$C$6,2,FALSE())</f>
        <v>Pneumax Service</v>
      </c>
      <c r="F1445" s="0" t="n">
        <v>50</v>
      </c>
      <c r="G1445" s="0" t="n">
        <v>7</v>
      </c>
      <c r="H1445" s="0" t="str">
        <f aca="false">IF(F1445&lt;G1445,"SI","NO")</f>
        <v>NO</v>
      </c>
    </row>
    <row r="1446" customFormat="false" ht="15" hidden="false" customHeight="false" outlineLevel="0" collapsed="false">
      <c r="A1446" s="0" t="s">
        <v>3542</v>
      </c>
      <c r="B1446" s="0" t="s">
        <v>1678</v>
      </c>
      <c r="C1446" s="0" t="s">
        <v>3543</v>
      </c>
      <c r="D1446" s="2" t="s">
        <v>27</v>
      </c>
      <c r="E1446" s="0" t="str">
        <f aca="false">VLOOKUP(D1446,Fornitori!$A$2:$C$6,2,FALSE())</f>
        <v>Guarnizioni Alpi</v>
      </c>
      <c r="F1446" s="0" t="n">
        <v>33</v>
      </c>
      <c r="G1446" s="0" t="n">
        <v>13</v>
      </c>
      <c r="H1446" s="0" t="str">
        <f aca="false">IF(F1446&lt;G1446,"SI","NO")</f>
        <v>NO</v>
      </c>
    </row>
    <row r="1447" customFormat="false" ht="15" hidden="false" customHeight="false" outlineLevel="0" collapsed="false">
      <c r="A1447" s="0" t="s">
        <v>3544</v>
      </c>
      <c r="B1447" s="0" t="s">
        <v>2250</v>
      </c>
      <c r="C1447" s="0" t="s">
        <v>837</v>
      </c>
      <c r="D1447" s="2" t="s">
        <v>11</v>
      </c>
      <c r="E1447" s="0" t="str">
        <f aca="false">VLOOKUP(D1447,Fornitori!$A$2:$C$6,2,FALSE())</f>
        <v>Meccanica Bassi S.r.l.</v>
      </c>
      <c r="F1447" s="0" t="n">
        <v>44</v>
      </c>
      <c r="G1447" s="0" t="n">
        <v>18</v>
      </c>
      <c r="H1447" s="0" t="str">
        <f aca="false">IF(F1447&lt;G1447,"SI","NO")</f>
        <v>NO</v>
      </c>
    </row>
    <row r="1448" customFormat="false" ht="15" hidden="false" customHeight="false" outlineLevel="0" collapsed="false">
      <c r="A1448" s="0" t="s">
        <v>3545</v>
      </c>
      <c r="B1448" s="0" t="s">
        <v>269</v>
      </c>
      <c r="C1448" s="0" t="s">
        <v>3546</v>
      </c>
      <c r="D1448" s="2" t="s">
        <v>15</v>
      </c>
      <c r="E1448" s="0" t="str">
        <f aca="false">VLOOKUP(D1448,Fornitori!$A$2:$C$6,2,FALSE())</f>
        <v>Rulmeca Italia</v>
      </c>
      <c r="F1448" s="0" t="n">
        <v>29</v>
      </c>
      <c r="G1448" s="0" t="n">
        <v>6</v>
      </c>
      <c r="H1448" s="0" t="str">
        <f aca="false">IF(F1448&lt;G1448,"SI","NO")</f>
        <v>NO</v>
      </c>
    </row>
    <row r="1449" customFormat="false" ht="15" hidden="false" customHeight="false" outlineLevel="0" collapsed="false">
      <c r="A1449" s="0" t="s">
        <v>3547</v>
      </c>
      <c r="B1449" s="0" t="s">
        <v>729</v>
      </c>
      <c r="C1449" s="0" t="s">
        <v>916</v>
      </c>
      <c r="D1449" s="2" t="s">
        <v>19</v>
      </c>
      <c r="E1449" s="0" t="str">
        <f aca="false">VLOOKUP(D1449,Fornitori!$A$2:$C$6,2,FALSE())</f>
        <v>Elettrotecnica Ferri</v>
      </c>
      <c r="F1449" s="0" t="n">
        <v>12</v>
      </c>
      <c r="G1449" s="0" t="n">
        <v>7</v>
      </c>
      <c r="H1449" s="0" t="str">
        <f aca="false">IF(F1449&lt;G1449,"SI","NO")</f>
        <v>NO</v>
      </c>
    </row>
    <row r="1450" customFormat="false" ht="15" hidden="false" customHeight="false" outlineLevel="0" collapsed="false">
      <c r="A1450" s="0" t="s">
        <v>3548</v>
      </c>
      <c r="B1450" s="0" t="s">
        <v>3549</v>
      </c>
      <c r="C1450" s="0" t="s">
        <v>1451</v>
      </c>
      <c r="D1450" s="2" t="s">
        <v>23</v>
      </c>
      <c r="E1450" s="0" t="str">
        <f aca="false">VLOOKUP(D1450,Fornitori!$A$2:$C$6,2,FALSE())</f>
        <v>Pneumax Service</v>
      </c>
      <c r="F1450" s="0" t="n">
        <v>48</v>
      </c>
      <c r="G1450" s="0" t="n">
        <v>10</v>
      </c>
      <c r="H1450" s="0" t="str">
        <f aca="false">IF(F1450&lt;G1450,"SI","NO")</f>
        <v>NO</v>
      </c>
    </row>
    <row r="1451" customFormat="false" ht="15" hidden="false" customHeight="false" outlineLevel="0" collapsed="false">
      <c r="A1451" s="0" t="s">
        <v>3550</v>
      </c>
      <c r="B1451" s="0" t="s">
        <v>3551</v>
      </c>
      <c r="C1451" s="0" t="s">
        <v>1548</v>
      </c>
      <c r="D1451" s="2" t="s">
        <v>27</v>
      </c>
      <c r="E1451" s="0" t="str">
        <f aca="false">VLOOKUP(D1451,Fornitori!$A$2:$C$6,2,FALSE())</f>
        <v>Guarnizioni Alpi</v>
      </c>
      <c r="F1451" s="0" t="n">
        <v>24</v>
      </c>
      <c r="G1451" s="0" t="n">
        <v>24</v>
      </c>
      <c r="H1451" s="0" t="str">
        <f aca="false">IF(F1451&lt;G1451,"SI","NO")</f>
        <v>NO</v>
      </c>
    </row>
    <row r="1452" customFormat="false" ht="15" hidden="false" customHeight="false" outlineLevel="0" collapsed="false">
      <c r="A1452" s="0" t="s">
        <v>3552</v>
      </c>
      <c r="B1452" s="0" t="s">
        <v>3553</v>
      </c>
      <c r="C1452" s="0" t="s">
        <v>2681</v>
      </c>
      <c r="D1452" s="2" t="s">
        <v>11</v>
      </c>
      <c r="E1452" s="0" t="str">
        <f aca="false">VLOOKUP(D1452,Fornitori!$A$2:$C$6,2,FALSE())</f>
        <v>Meccanica Bassi S.r.l.</v>
      </c>
      <c r="F1452" s="0" t="n">
        <v>28</v>
      </c>
      <c r="G1452" s="0" t="n">
        <v>21</v>
      </c>
      <c r="H1452" s="0" t="str">
        <f aca="false">IF(F1452&lt;G1452,"SI","NO")</f>
        <v>NO</v>
      </c>
    </row>
    <row r="1453" customFormat="false" ht="15" hidden="false" customHeight="false" outlineLevel="0" collapsed="false">
      <c r="A1453" s="0" t="s">
        <v>3554</v>
      </c>
      <c r="B1453" s="0" t="s">
        <v>3555</v>
      </c>
      <c r="C1453" s="0" t="s">
        <v>904</v>
      </c>
      <c r="D1453" s="2" t="s">
        <v>15</v>
      </c>
      <c r="E1453" s="0" t="str">
        <f aca="false">VLOOKUP(D1453,Fornitori!$A$2:$C$6,2,FALSE())</f>
        <v>Rulmeca Italia</v>
      </c>
      <c r="F1453" s="0" t="n">
        <v>7</v>
      </c>
      <c r="G1453" s="0" t="n">
        <v>7</v>
      </c>
      <c r="H1453" s="0" t="str">
        <f aca="false">IF(F1453&lt;G1453,"SI","NO")</f>
        <v>NO</v>
      </c>
    </row>
    <row r="1454" customFormat="false" ht="15" hidden="false" customHeight="false" outlineLevel="0" collapsed="false">
      <c r="A1454" s="0" t="s">
        <v>3556</v>
      </c>
      <c r="B1454" s="0" t="s">
        <v>3557</v>
      </c>
      <c r="C1454" s="0" t="s">
        <v>1888</v>
      </c>
      <c r="D1454" s="2" t="s">
        <v>19</v>
      </c>
      <c r="E1454" s="0" t="str">
        <f aca="false">VLOOKUP(D1454,Fornitori!$A$2:$C$6,2,FALSE())</f>
        <v>Elettrotecnica Ferri</v>
      </c>
      <c r="F1454" s="0" t="n">
        <v>51</v>
      </c>
      <c r="G1454" s="0" t="n">
        <v>18</v>
      </c>
      <c r="H1454" s="0" t="str">
        <f aca="false">IF(F1454&lt;G1454,"SI","NO")</f>
        <v>NO</v>
      </c>
    </row>
    <row r="1455" customFormat="false" ht="15" hidden="false" customHeight="false" outlineLevel="0" collapsed="false">
      <c r="A1455" s="0" t="s">
        <v>3558</v>
      </c>
      <c r="B1455" s="0" t="s">
        <v>2415</v>
      </c>
      <c r="C1455" s="0" t="s">
        <v>3256</v>
      </c>
      <c r="D1455" s="2" t="s">
        <v>23</v>
      </c>
      <c r="E1455" s="0" t="str">
        <f aca="false">VLOOKUP(D1455,Fornitori!$A$2:$C$6,2,FALSE())</f>
        <v>Pneumax Service</v>
      </c>
      <c r="F1455" s="0" t="n">
        <v>37</v>
      </c>
      <c r="G1455" s="0" t="n">
        <v>16</v>
      </c>
      <c r="H1455" s="0" t="str">
        <f aca="false">IF(F1455&lt;G1455,"SI","NO")</f>
        <v>NO</v>
      </c>
    </row>
    <row r="1456" customFormat="false" ht="15" hidden="false" customHeight="false" outlineLevel="0" collapsed="false">
      <c r="A1456" s="0" t="s">
        <v>3559</v>
      </c>
      <c r="B1456" s="0" t="s">
        <v>2796</v>
      </c>
      <c r="C1456" s="0" t="s">
        <v>2451</v>
      </c>
      <c r="D1456" s="2" t="s">
        <v>27</v>
      </c>
      <c r="E1456" s="0" t="str">
        <f aca="false">VLOOKUP(D1456,Fornitori!$A$2:$C$6,2,FALSE())</f>
        <v>Guarnizioni Alpi</v>
      </c>
      <c r="F1456" s="0" t="n">
        <v>49</v>
      </c>
      <c r="G1456" s="0" t="n">
        <v>24</v>
      </c>
      <c r="H1456" s="0" t="str">
        <f aca="false">IF(F1456&lt;G1456,"SI","NO")</f>
        <v>NO</v>
      </c>
    </row>
    <row r="1457" customFormat="false" ht="15" hidden="false" customHeight="false" outlineLevel="0" collapsed="false">
      <c r="A1457" s="0" t="s">
        <v>3560</v>
      </c>
      <c r="B1457" s="0" t="s">
        <v>3561</v>
      </c>
      <c r="C1457" s="0" t="s">
        <v>342</v>
      </c>
      <c r="D1457" s="2" t="s">
        <v>11</v>
      </c>
      <c r="E1457" s="0" t="str">
        <f aca="false">VLOOKUP(D1457,Fornitori!$A$2:$C$6,2,FALSE())</f>
        <v>Meccanica Bassi S.r.l.</v>
      </c>
      <c r="F1457" s="0" t="n">
        <v>21</v>
      </c>
      <c r="G1457" s="0" t="n">
        <v>9</v>
      </c>
      <c r="H1457" s="0" t="str">
        <f aca="false">IF(F1457&lt;G1457,"SI","NO")</f>
        <v>NO</v>
      </c>
    </row>
    <row r="1458" customFormat="false" ht="15" hidden="false" customHeight="false" outlineLevel="0" collapsed="false">
      <c r="A1458" s="0" t="s">
        <v>3562</v>
      </c>
      <c r="B1458" s="0" t="s">
        <v>3563</v>
      </c>
      <c r="C1458" s="0" t="s">
        <v>3564</v>
      </c>
      <c r="D1458" s="2" t="s">
        <v>15</v>
      </c>
      <c r="E1458" s="0" t="str">
        <f aca="false">VLOOKUP(D1458,Fornitori!$A$2:$C$6,2,FALSE())</f>
        <v>Rulmeca Italia</v>
      </c>
      <c r="F1458" s="0" t="n">
        <v>6</v>
      </c>
      <c r="G1458" s="0" t="n">
        <v>7</v>
      </c>
      <c r="H1458" s="0" t="str">
        <f aca="false">IF(F1458&lt;G1458,"SI","NO")</f>
        <v>SI</v>
      </c>
    </row>
    <row r="1459" customFormat="false" ht="15" hidden="false" customHeight="false" outlineLevel="0" collapsed="false">
      <c r="A1459" s="0" t="s">
        <v>3565</v>
      </c>
      <c r="B1459" s="0" t="s">
        <v>3566</v>
      </c>
      <c r="C1459" s="0" t="s">
        <v>1851</v>
      </c>
      <c r="D1459" s="2" t="s">
        <v>19</v>
      </c>
      <c r="E1459" s="0" t="str">
        <f aca="false">VLOOKUP(D1459,Fornitori!$A$2:$C$6,2,FALSE())</f>
        <v>Elettrotecnica Ferri</v>
      </c>
      <c r="F1459" s="0" t="n">
        <v>45</v>
      </c>
      <c r="G1459" s="0" t="n">
        <v>10</v>
      </c>
      <c r="H1459" s="0" t="str">
        <f aca="false">IF(F1459&lt;G1459,"SI","NO")</f>
        <v>NO</v>
      </c>
    </row>
    <row r="1460" customFormat="false" ht="15" hidden="false" customHeight="false" outlineLevel="0" collapsed="false">
      <c r="A1460" s="0" t="s">
        <v>3567</v>
      </c>
      <c r="B1460" s="0" t="s">
        <v>3568</v>
      </c>
      <c r="C1460" s="0" t="s">
        <v>1966</v>
      </c>
      <c r="D1460" s="2" t="s">
        <v>23</v>
      </c>
      <c r="E1460" s="0" t="str">
        <f aca="false">VLOOKUP(D1460,Fornitori!$A$2:$C$6,2,FALSE())</f>
        <v>Pneumax Service</v>
      </c>
      <c r="F1460" s="0" t="n">
        <v>19</v>
      </c>
      <c r="G1460" s="0" t="n">
        <v>12</v>
      </c>
      <c r="H1460" s="0" t="str">
        <f aca="false">IF(F1460&lt;G1460,"SI","NO")</f>
        <v>NO</v>
      </c>
    </row>
    <row r="1461" customFormat="false" ht="15" hidden="false" customHeight="false" outlineLevel="0" collapsed="false">
      <c r="A1461" s="0" t="s">
        <v>3569</v>
      </c>
      <c r="B1461" s="0" t="s">
        <v>3570</v>
      </c>
      <c r="C1461" s="0" t="s">
        <v>3571</v>
      </c>
      <c r="D1461" s="2" t="s">
        <v>27</v>
      </c>
      <c r="E1461" s="0" t="str">
        <f aca="false">VLOOKUP(D1461,Fornitori!$A$2:$C$6,2,FALSE())</f>
        <v>Guarnizioni Alpi</v>
      </c>
      <c r="F1461" s="0" t="n">
        <v>45</v>
      </c>
      <c r="G1461" s="0" t="n">
        <v>22</v>
      </c>
      <c r="H1461" s="0" t="str">
        <f aca="false">IF(F1461&lt;G1461,"SI","NO")</f>
        <v>NO</v>
      </c>
    </row>
    <row r="1462" customFormat="false" ht="15" hidden="false" customHeight="false" outlineLevel="0" collapsed="false">
      <c r="A1462" s="0" t="s">
        <v>3572</v>
      </c>
      <c r="B1462" s="0" t="s">
        <v>3573</v>
      </c>
      <c r="C1462" s="0" t="s">
        <v>1019</v>
      </c>
      <c r="D1462" s="2" t="s">
        <v>11</v>
      </c>
      <c r="E1462" s="0" t="str">
        <f aca="false">VLOOKUP(D1462,Fornitori!$A$2:$C$6,2,FALSE())</f>
        <v>Meccanica Bassi S.r.l.</v>
      </c>
      <c r="F1462" s="0" t="n">
        <v>23</v>
      </c>
      <c r="G1462" s="0" t="n">
        <v>17</v>
      </c>
      <c r="H1462" s="0" t="str">
        <f aca="false">IF(F1462&lt;G1462,"SI","NO")</f>
        <v>NO</v>
      </c>
    </row>
    <row r="1463" customFormat="false" ht="15" hidden="false" customHeight="false" outlineLevel="0" collapsed="false">
      <c r="A1463" s="0" t="s">
        <v>3574</v>
      </c>
      <c r="B1463" s="0" t="s">
        <v>3575</v>
      </c>
      <c r="C1463" s="0" t="s">
        <v>3576</v>
      </c>
      <c r="D1463" s="2" t="s">
        <v>15</v>
      </c>
      <c r="E1463" s="0" t="str">
        <f aca="false">VLOOKUP(D1463,Fornitori!$A$2:$C$6,2,FALSE())</f>
        <v>Rulmeca Italia</v>
      </c>
      <c r="F1463" s="0" t="n">
        <v>56</v>
      </c>
      <c r="G1463" s="0" t="n">
        <v>14</v>
      </c>
      <c r="H1463" s="0" t="str">
        <f aca="false">IF(F1463&lt;G1463,"SI","NO")</f>
        <v>NO</v>
      </c>
    </row>
    <row r="1464" customFormat="false" ht="15" hidden="false" customHeight="false" outlineLevel="0" collapsed="false">
      <c r="A1464" s="0" t="s">
        <v>3577</v>
      </c>
      <c r="B1464" s="0" t="s">
        <v>2104</v>
      </c>
      <c r="C1464" s="0" t="s">
        <v>1403</v>
      </c>
      <c r="D1464" s="2" t="s">
        <v>19</v>
      </c>
      <c r="E1464" s="0" t="str">
        <f aca="false">VLOOKUP(D1464,Fornitori!$A$2:$C$6,2,FALSE())</f>
        <v>Elettrotecnica Ferri</v>
      </c>
      <c r="F1464" s="0" t="n">
        <v>55</v>
      </c>
      <c r="G1464" s="0" t="n">
        <v>15</v>
      </c>
      <c r="H1464" s="0" t="str">
        <f aca="false">IF(F1464&lt;G1464,"SI","NO")</f>
        <v>NO</v>
      </c>
    </row>
    <row r="1465" customFormat="false" ht="15" hidden="false" customHeight="false" outlineLevel="0" collapsed="false">
      <c r="A1465" s="0" t="s">
        <v>3578</v>
      </c>
      <c r="B1465" s="0" t="s">
        <v>3579</v>
      </c>
      <c r="C1465" s="0" t="s">
        <v>1601</v>
      </c>
      <c r="D1465" s="2" t="s">
        <v>23</v>
      </c>
      <c r="E1465" s="0" t="str">
        <f aca="false">VLOOKUP(D1465,Fornitori!$A$2:$C$6,2,FALSE())</f>
        <v>Pneumax Service</v>
      </c>
      <c r="F1465" s="0" t="n">
        <v>42</v>
      </c>
      <c r="G1465" s="0" t="n">
        <v>11</v>
      </c>
      <c r="H1465" s="0" t="str">
        <f aca="false">IF(F1465&lt;G1465,"SI","NO")</f>
        <v>NO</v>
      </c>
    </row>
    <row r="1466" customFormat="false" ht="15" hidden="false" customHeight="false" outlineLevel="0" collapsed="false">
      <c r="A1466" s="0" t="s">
        <v>3580</v>
      </c>
      <c r="B1466" s="0" t="s">
        <v>3581</v>
      </c>
      <c r="C1466" s="0" t="s">
        <v>791</v>
      </c>
      <c r="D1466" s="2" t="s">
        <v>27</v>
      </c>
      <c r="E1466" s="0" t="str">
        <f aca="false">VLOOKUP(D1466,Fornitori!$A$2:$C$6,2,FALSE())</f>
        <v>Guarnizioni Alpi</v>
      </c>
      <c r="F1466" s="0" t="n">
        <v>19</v>
      </c>
      <c r="G1466" s="0" t="n">
        <v>14</v>
      </c>
      <c r="H1466" s="0" t="str">
        <f aca="false">IF(F1466&lt;G1466,"SI","NO")</f>
        <v>NO</v>
      </c>
    </row>
    <row r="1467" customFormat="false" ht="15" hidden="false" customHeight="false" outlineLevel="0" collapsed="false">
      <c r="A1467" s="0" t="s">
        <v>3582</v>
      </c>
      <c r="B1467" s="0" t="s">
        <v>3583</v>
      </c>
      <c r="C1467" s="0" t="s">
        <v>3584</v>
      </c>
      <c r="D1467" s="2" t="s">
        <v>11</v>
      </c>
      <c r="E1467" s="0" t="str">
        <f aca="false">VLOOKUP(D1467,Fornitori!$A$2:$C$6,2,FALSE())</f>
        <v>Meccanica Bassi S.r.l.</v>
      </c>
      <c r="F1467" s="0" t="n">
        <v>24</v>
      </c>
      <c r="G1467" s="0" t="n">
        <v>22</v>
      </c>
      <c r="H1467" s="0" t="str">
        <f aca="false">IF(F1467&lt;G1467,"SI","NO")</f>
        <v>NO</v>
      </c>
    </row>
    <row r="1468" customFormat="false" ht="15" hidden="false" customHeight="false" outlineLevel="0" collapsed="false">
      <c r="A1468" s="0" t="s">
        <v>3585</v>
      </c>
      <c r="B1468" s="0" t="s">
        <v>3586</v>
      </c>
      <c r="C1468" s="0" t="s">
        <v>1036</v>
      </c>
      <c r="D1468" s="2" t="s">
        <v>15</v>
      </c>
      <c r="E1468" s="0" t="str">
        <f aca="false">VLOOKUP(D1468,Fornitori!$A$2:$C$6,2,FALSE())</f>
        <v>Rulmeca Italia</v>
      </c>
      <c r="F1468" s="0" t="n">
        <v>16</v>
      </c>
      <c r="G1468" s="0" t="n">
        <v>21</v>
      </c>
      <c r="H1468" s="0" t="str">
        <f aca="false">IF(F1468&lt;G1468,"SI","NO")</f>
        <v>SI</v>
      </c>
    </row>
    <row r="1469" customFormat="false" ht="15" hidden="false" customHeight="false" outlineLevel="0" collapsed="false">
      <c r="A1469" s="0" t="s">
        <v>3587</v>
      </c>
      <c r="B1469" s="0" t="s">
        <v>3588</v>
      </c>
      <c r="C1469" s="0" t="s">
        <v>3589</v>
      </c>
      <c r="D1469" s="2" t="s">
        <v>19</v>
      </c>
      <c r="E1469" s="0" t="str">
        <f aca="false">VLOOKUP(D1469,Fornitori!$A$2:$C$6,2,FALSE())</f>
        <v>Elettrotecnica Ferri</v>
      </c>
      <c r="F1469" s="0" t="n">
        <v>54</v>
      </c>
      <c r="G1469" s="0" t="n">
        <v>12</v>
      </c>
      <c r="H1469" s="0" t="str">
        <f aca="false">IF(F1469&lt;G1469,"SI","NO")</f>
        <v>NO</v>
      </c>
    </row>
    <row r="1470" customFormat="false" ht="15" hidden="false" customHeight="false" outlineLevel="0" collapsed="false">
      <c r="A1470" s="0" t="s">
        <v>3590</v>
      </c>
      <c r="B1470" s="0" t="s">
        <v>3591</v>
      </c>
      <c r="C1470" s="0" t="s">
        <v>532</v>
      </c>
      <c r="D1470" s="2" t="s">
        <v>23</v>
      </c>
      <c r="E1470" s="0" t="str">
        <f aca="false">VLOOKUP(D1470,Fornitori!$A$2:$C$6,2,FALSE())</f>
        <v>Pneumax Service</v>
      </c>
      <c r="F1470" s="0" t="n">
        <v>38</v>
      </c>
      <c r="G1470" s="0" t="n">
        <v>13</v>
      </c>
      <c r="H1470" s="0" t="str">
        <f aca="false">IF(F1470&lt;G1470,"SI","NO")</f>
        <v>NO</v>
      </c>
    </row>
    <row r="1471" customFormat="false" ht="15" hidden="false" customHeight="false" outlineLevel="0" collapsed="false">
      <c r="A1471" s="0" t="s">
        <v>3592</v>
      </c>
      <c r="B1471" s="0" t="s">
        <v>3593</v>
      </c>
      <c r="C1471" s="0" t="s">
        <v>1075</v>
      </c>
      <c r="D1471" s="2" t="s">
        <v>27</v>
      </c>
      <c r="E1471" s="0" t="str">
        <f aca="false">VLOOKUP(D1471,Fornitori!$A$2:$C$6,2,FALSE())</f>
        <v>Guarnizioni Alpi</v>
      </c>
      <c r="F1471" s="0" t="n">
        <v>26</v>
      </c>
      <c r="G1471" s="0" t="n">
        <v>16</v>
      </c>
      <c r="H1471" s="0" t="str">
        <f aca="false">IF(F1471&lt;G1471,"SI","NO")</f>
        <v>NO</v>
      </c>
    </row>
    <row r="1472" customFormat="false" ht="15" hidden="false" customHeight="false" outlineLevel="0" collapsed="false">
      <c r="A1472" s="0" t="s">
        <v>3594</v>
      </c>
      <c r="B1472" s="0" t="s">
        <v>2589</v>
      </c>
      <c r="C1472" s="0" t="s">
        <v>1893</v>
      </c>
      <c r="D1472" s="2" t="s">
        <v>11</v>
      </c>
      <c r="E1472" s="0" t="str">
        <f aca="false">VLOOKUP(D1472,Fornitori!$A$2:$C$6,2,FALSE())</f>
        <v>Meccanica Bassi S.r.l.</v>
      </c>
      <c r="F1472" s="0" t="n">
        <v>17</v>
      </c>
      <c r="G1472" s="0" t="n">
        <v>20</v>
      </c>
      <c r="H1472" s="0" t="str">
        <f aca="false">IF(F1472&lt;G1472,"SI","NO")</f>
        <v>SI</v>
      </c>
    </row>
    <row r="1473" customFormat="false" ht="15" hidden="false" customHeight="false" outlineLevel="0" collapsed="false">
      <c r="A1473" s="0" t="s">
        <v>3595</v>
      </c>
      <c r="B1473" s="0" t="s">
        <v>3596</v>
      </c>
      <c r="C1473" s="0" t="s">
        <v>3597</v>
      </c>
      <c r="D1473" s="2" t="s">
        <v>15</v>
      </c>
      <c r="E1473" s="0" t="str">
        <f aca="false">VLOOKUP(D1473,Fornitori!$A$2:$C$6,2,FALSE())</f>
        <v>Rulmeca Italia</v>
      </c>
      <c r="F1473" s="0" t="n">
        <v>22</v>
      </c>
      <c r="G1473" s="0" t="n">
        <v>7</v>
      </c>
      <c r="H1473" s="0" t="str">
        <f aca="false">IF(F1473&lt;G1473,"SI","NO")</f>
        <v>NO</v>
      </c>
    </row>
    <row r="1474" customFormat="false" ht="15" hidden="false" customHeight="false" outlineLevel="0" collapsed="false">
      <c r="A1474" s="0" t="s">
        <v>3598</v>
      </c>
      <c r="B1474" s="0" t="s">
        <v>3599</v>
      </c>
      <c r="C1474" s="0" t="s">
        <v>1811</v>
      </c>
      <c r="D1474" s="2" t="s">
        <v>19</v>
      </c>
      <c r="E1474" s="0" t="str">
        <f aca="false">VLOOKUP(D1474,Fornitori!$A$2:$C$6,2,FALSE())</f>
        <v>Elettrotecnica Ferri</v>
      </c>
      <c r="F1474" s="0" t="n">
        <v>16</v>
      </c>
      <c r="G1474" s="0" t="n">
        <v>12</v>
      </c>
      <c r="H1474" s="0" t="str">
        <f aca="false">IF(F1474&lt;G1474,"SI","NO")</f>
        <v>NO</v>
      </c>
    </row>
    <row r="1475" customFormat="false" ht="15" hidden="false" customHeight="false" outlineLevel="0" collapsed="false">
      <c r="A1475" s="0" t="s">
        <v>3600</v>
      </c>
      <c r="B1475" s="0" t="s">
        <v>3601</v>
      </c>
      <c r="C1475" s="0" t="s">
        <v>3602</v>
      </c>
      <c r="D1475" s="2" t="s">
        <v>23</v>
      </c>
      <c r="E1475" s="0" t="str">
        <f aca="false">VLOOKUP(D1475,Fornitori!$A$2:$C$6,2,FALSE())</f>
        <v>Pneumax Service</v>
      </c>
      <c r="F1475" s="0" t="n">
        <v>44</v>
      </c>
      <c r="G1475" s="0" t="n">
        <v>15</v>
      </c>
      <c r="H1475" s="0" t="str">
        <f aca="false">IF(F1475&lt;G1475,"SI","NO")</f>
        <v>NO</v>
      </c>
    </row>
    <row r="1476" customFormat="false" ht="15" hidden="false" customHeight="false" outlineLevel="0" collapsed="false">
      <c r="A1476" s="0" t="s">
        <v>3603</v>
      </c>
      <c r="B1476" s="0" t="s">
        <v>3604</v>
      </c>
      <c r="C1476" s="0" t="s">
        <v>3605</v>
      </c>
      <c r="D1476" s="2" t="s">
        <v>27</v>
      </c>
      <c r="E1476" s="0" t="str">
        <f aca="false">VLOOKUP(D1476,Fornitori!$A$2:$C$6,2,FALSE())</f>
        <v>Guarnizioni Alpi</v>
      </c>
      <c r="F1476" s="0" t="n">
        <v>22</v>
      </c>
      <c r="G1476" s="0" t="n">
        <v>14</v>
      </c>
      <c r="H1476" s="0" t="str">
        <f aca="false">IF(F1476&lt;G1476,"SI","NO")</f>
        <v>NO</v>
      </c>
    </row>
    <row r="1477" customFormat="false" ht="15" hidden="false" customHeight="false" outlineLevel="0" collapsed="false">
      <c r="A1477" s="0" t="s">
        <v>3606</v>
      </c>
      <c r="B1477" s="0" t="s">
        <v>3607</v>
      </c>
      <c r="C1477" s="0" t="s">
        <v>2539</v>
      </c>
      <c r="D1477" s="2" t="s">
        <v>11</v>
      </c>
      <c r="E1477" s="0" t="str">
        <f aca="false">VLOOKUP(D1477,Fornitori!$A$2:$C$6,2,FALSE())</f>
        <v>Meccanica Bassi S.r.l.</v>
      </c>
      <c r="F1477" s="0" t="n">
        <v>15</v>
      </c>
      <c r="G1477" s="0" t="n">
        <v>16</v>
      </c>
      <c r="H1477" s="0" t="str">
        <f aca="false">IF(F1477&lt;G1477,"SI","NO")</f>
        <v>SI</v>
      </c>
    </row>
    <row r="1478" customFormat="false" ht="15" hidden="false" customHeight="false" outlineLevel="0" collapsed="false">
      <c r="A1478" s="0" t="s">
        <v>3608</v>
      </c>
      <c r="B1478" s="0" t="s">
        <v>3609</v>
      </c>
      <c r="C1478" s="0" t="s">
        <v>3318</v>
      </c>
      <c r="D1478" s="2" t="s">
        <v>15</v>
      </c>
      <c r="E1478" s="0" t="str">
        <f aca="false">VLOOKUP(D1478,Fornitori!$A$2:$C$6,2,FALSE())</f>
        <v>Rulmeca Italia</v>
      </c>
      <c r="F1478" s="0" t="n">
        <v>44</v>
      </c>
      <c r="G1478" s="0" t="n">
        <v>11</v>
      </c>
      <c r="H1478" s="0" t="str">
        <f aca="false">IF(F1478&lt;G1478,"SI","NO")</f>
        <v>NO</v>
      </c>
    </row>
    <row r="1479" customFormat="false" ht="15" hidden="false" customHeight="false" outlineLevel="0" collapsed="false">
      <c r="A1479" s="0" t="s">
        <v>3610</v>
      </c>
      <c r="B1479" s="0" t="s">
        <v>3611</v>
      </c>
      <c r="C1479" s="0" t="s">
        <v>865</v>
      </c>
      <c r="D1479" s="2" t="s">
        <v>19</v>
      </c>
      <c r="E1479" s="0" t="str">
        <f aca="false">VLOOKUP(D1479,Fornitori!$A$2:$C$6,2,FALSE())</f>
        <v>Elettrotecnica Ferri</v>
      </c>
      <c r="F1479" s="0" t="n">
        <v>33</v>
      </c>
      <c r="G1479" s="0" t="n">
        <v>16</v>
      </c>
      <c r="H1479" s="0" t="str">
        <f aca="false">IF(F1479&lt;G1479,"SI","NO")</f>
        <v>NO</v>
      </c>
    </row>
    <row r="1480" customFormat="false" ht="15" hidden="false" customHeight="false" outlineLevel="0" collapsed="false">
      <c r="A1480" s="0" t="s">
        <v>3612</v>
      </c>
      <c r="B1480" s="0" t="s">
        <v>3296</v>
      </c>
      <c r="C1480" s="0" t="s">
        <v>559</v>
      </c>
      <c r="D1480" s="2" t="s">
        <v>23</v>
      </c>
      <c r="E1480" s="0" t="str">
        <f aca="false">VLOOKUP(D1480,Fornitori!$A$2:$C$6,2,FALSE())</f>
        <v>Pneumax Service</v>
      </c>
      <c r="F1480" s="0" t="n">
        <v>46</v>
      </c>
      <c r="G1480" s="0" t="n">
        <v>23</v>
      </c>
      <c r="H1480" s="0" t="str">
        <f aca="false">IF(F1480&lt;G1480,"SI","NO")</f>
        <v>NO</v>
      </c>
    </row>
    <row r="1481" customFormat="false" ht="15" hidden="false" customHeight="false" outlineLevel="0" collapsed="false">
      <c r="A1481" s="0" t="s">
        <v>3613</v>
      </c>
      <c r="B1481" s="0" t="s">
        <v>2406</v>
      </c>
      <c r="C1481" s="0" t="s">
        <v>3614</v>
      </c>
      <c r="D1481" s="2" t="s">
        <v>27</v>
      </c>
      <c r="E1481" s="0" t="str">
        <f aca="false">VLOOKUP(D1481,Fornitori!$A$2:$C$6,2,FALSE())</f>
        <v>Guarnizioni Alpi</v>
      </c>
      <c r="F1481" s="0" t="n">
        <v>46</v>
      </c>
      <c r="G1481" s="0" t="n">
        <v>16</v>
      </c>
      <c r="H1481" s="0" t="str">
        <f aca="false">IF(F1481&lt;G1481,"SI","NO")</f>
        <v>NO</v>
      </c>
    </row>
    <row r="1482" customFormat="false" ht="15" hidden="false" customHeight="false" outlineLevel="0" collapsed="false">
      <c r="A1482" s="0" t="s">
        <v>3615</v>
      </c>
      <c r="B1482" s="0" t="s">
        <v>2631</v>
      </c>
      <c r="C1482" s="0" t="s">
        <v>761</v>
      </c>
      <c r="D1482" s="2" t="s">
        <v>11</v>
      </c>
      <c r="E1482" s="0" t="str">
        <f aca="false">VLOOKUP(D1482,Fornitori!$A$2:$C$6,2,FALSE())</f>
        <v>Meccanica Bassi S.r.l.</v>
      </c>
      <c r="F1482" s="0" t="n">
        <v>13</v>
      </c>
      <c r="G1482" s="0" t="n">
        <v>6</v>
      </c>
      <c r="H1482" s="0" t="str">
        <f aca="false">IF(F1482&lt;G1482,"SI","NO")</f>
        <v>NO</v>
      </c>
    </row>
    <row r="1483" customFormat="false" ht="15" hidden="false" customHeight="false" outlineLevel="0" collapsed="false">
      <c r="A1483" s="0" t="s">
        <v>3616</v>
      </c>
      <c r="B1483" s="0" t="s">
        <v>3617</v>
      </c>
      <c r="C1483" s="0" t="s">
        <v>3618</v>
      </c>
      <c r="D1483" s="2" t="s">
        <v>15</v>
      </c>
      <c r="E1483" s="0" t="str">
        <f aca="false">VLOOKUP(D1483,Fornitori!$A$2:$C$6,2,FALSE())</f>
        <v>Rulmeca Italia</v>
      </c>
      <c r="F1483" s="0" t="n">
        <v>55</v>
      </c>
      <c r="G1483" s="0" t="n">
        <v>16</v>
      </c>
      <c r="H1483" s="0" t="str">
        <f aca="false">IF(F1483&lt;G1483,"SI","NO")</f>
        <v>NO</v>
      </c>
    </row>
    <row r="1484" customFormat="false" ht="15" hidden="false" customHeight="false" outlineLevel="0" collapsed="false">
      <c r="A1484" s="0" t="s">
        <v>3619</v>
      </c>
      <c r="B1484" s="0" t="s">
        <v>199</v>
      </c>
      <c r="C1484" s="0" t="s">
        <v>1808</v>
      </c>
      <c r="D1484" s="2" t="s">
        <v>19</v>
      </c>
      <c r="E1484" s="0" t="str">
        <f aca="false">VLOOKUP(D1484,Fornitori!$A$2:$C$6,2,FALSE())</f>
        <v>Elettrotecnica Ferri</v>
      </c>
      <c r="F1484" s="0" t="n">
        <v>52</v>
      </c>
      <c r="G1484" s="0" t="n">
        <v>22</v>
      </c>
      <c r="H1484" s="0" t="str">
        <f aca="false">IF(F1484&lt;G1484,"SI","NO")</f>
        <v>NO</v>
      </c>
    </row>
    <row r="1485" customFormat="false" ht="15" hidden="false" customHeight="false" outlineLevel="0" collapsed="false">
      <c r="A1485" s="0" t="s">
        <v>3620</v>
      </c>
      <c r="B1485" s="0" t="s">
        <v>2707</v>
      </c>
      <c r="C1485" s="0" t="s">
        <v>2759</v>
      </c>
      <c r="D1485" s="2" t="s">
        <v>23</v>
      </c>
      <c r="E1485" s="0" t="str">
        <f aca="false">VLOOKUP(D1485,Fornitori!$A$2:$C$6,2,FALSE())</f>
        <v>Pneumax Service</v>
      </c>
      <c r="F1485" s="0" t="n">
        <v>54</v>
      </c>
      <c r="G1485" s="0" t="n">
        <v>11</v>
      </c>
      <c r="H1485" s="0" t="str">
        <f aca="false">IF(F1485&lt;G1485,"SI","NO")</f>
        <v>NO</v>
      </c>
    </row>
    <row r="1486" customFormat="false" ht="15" hidden="false" customHeight="false" outlineLevel="0" collapsed="false">
      <c r="A1486" s="0" t="s">
        <v>3621</v>
      </c>
      <c r="B1486" s="0" t="s">
        <v>3622</v>
      </c>
      <c r="C1486" s="0" t="s">
        <v>966</v>
      </c>
      <c r="D1486" s="2" t="s">
        <v>27</v>
      </c>
      <c r="E1486" s="0" t="str">
        <f aca="false">VLOOKUP(D1486,Fornitori!$A$2:$C$6,2,FALSE())</f>
        <v>Guarnizioni Alpi</v>
      </c>
      <c r="F1486" s="0" t="n">
        <v>29</v>
      </c>
      <c r="G1486" s="0" t="n">
        <v>15</v>
      </c>
      <c r="H1486" s="0" t="str">
        <f aca="false">IF(F1486&lt;G1486,"SI","NO")</f>
        <v>NO</v>
      </c>
    </row>
    <row r="1487" customFormat="false" ht="15" hidden="false" customHeight="false" outlineLevel="0" collapsed="false">
      <c r="A1487" s="0" t="s">
        <v>3623</v>
      </c>
      <c r="B1487" s="0" t="s">
        <v>1427</v>
      </c>
      <c r="C1487" s="0" t="s">
        <v>3624</v>
      </c>
      <c r="D1487" s="2" t="s">
        <v>11</v>
      </c>
      <c r="E1487" s="0" t="str">
        <f aca="false">VLOOKUP(D1487,Fornitori!$A$2:$C$6,2,FALSE())</f>
        <v>Meccanica Bassi S.r.l.</v>
      </c>
      <c r="F1487" s="0" t="n">
        <v>23</v>
      </c>
      <c r="G1487" s="0" t="n">
        <v>7</v>
      </c>
      <c r="H1487" s="0" t="str">
        <f aca="false">IF(F1487&lt;G1487,"SI","NO")</f>
        <v>NO</v>
      </c>
    </row>
    <row r="1488" customFormat="false" ht="15" hidden="false" customHeight="false" outlineLevel="0" collapsed="false">
      <c r="A1488" s="0" t="s">
        <v>3625</v>
      </c>
      <c r="B1488" s="0" t="s">
        <v>921</v>
      </c>
      <c r="C1488" s="0" t="s">
        <v>3626</v>
      </c>
      <c r="D1488" s="2" t="s">
        <v>15</v>
      </c>
      <c r="E1488" s="0" t="str">
        <f aca="false">VLOOKUP(D1488,Fornitori!$A$2:$C$6,2,FALSE())</f>
        <v>Rulmeca Italia</v>
      </c>
      <c r="F1488" s="0" t="n">
        <v>52</v>
      </c>
      <c r="G1488" s="0" t="n">
        <v>22</v>
      </c>
      <c r="H1488" s="0" t="str">
        <f aca="false">IF(F1488&lt;G1488,"SI","NO")</f>
        <v>NO</v>
      </c>
    </row>
    <row r="1489" customFormat="false" ht="15" hidden="false" customHeight="false" outlineLevel="0" collapsed="false">
      <c r="A1489" s="0" t="s">
        <v>3627</v>
      </c>
      <c r="B1489" s="0" t="s">
        <v>301</v>
      </c>
      <c r="C1489" s="0" t="s">
        <v>2204</v>
      </c>
      <c r="D1489" s="2" t="s">
        <v>19</v>
      </c>
      <c r="E1489" s="0" t="str">
        <f aca="false">VLOOKUP(D1489,Fornitori!$A$2:$C$6,2,FALSE())</f>
        <v>Elettrotecnica Ferri</v>
      </c>
      <c r="F1489" s="0" t="n">
        <v>9</v>
      </c>
      <c r="G1489" s="0" t="n">
        <v>21</v>
      </c>
      <c r="H1489" s="0" t="str">
        <f aca="false">IF(F1489&lt;G1489,"SI","NO")</f>
        <v>SI</v>
      </c>
    </row>
    <row r="1490" customFormat="false" ht="15" hidden="false" customHeight="false" outlineLevel="0" collapsed="false">
      <c r="A1490" s="0" t="s">
        <v>3628</v>
      </c>
      <c r="B1490" s="0" t="s">
        <v>1410</v>
      </c>
      <c r="C1490" s="0" t="s">
        <v>1363</v>
      </c>
      <c r="D1490" s="2" t="s">
        <v>23</v>
      </c>
      <c r="E1490" s="0" t="str">
        <f aca="false">VLOOKUP(D1490,Fornitori!$A$2:$C$6,2,FALSE())</f>
        <v>Pneumax Service</v>
      </c>
      <c r="F1490" s="0" t="n">
        <v>26</v>
      </c>
      <c r="G1490" s="0" t="n">
        <v>9</v>
      </c>
      <c r="H1490" s="0" t="str">
        <f aca="false">IF(F1490&lt;G1490,"SI","NO")</f>
        <v>NO</v>
      </c>
    </row>
    <row r="1491" customFormat="false" ht="15" hidden="false" customHeight="false" outlineLevel="0" collapsed="false">
      <c r="A1491" s="0" t="s">
        <v>3629</v>
      </c>
      <c r="B1491" s="0" t="s">
        <v>1912</v>
      </c>
      <c r="C1491" s="0" t="s">
        <v>3630</v>
      </c>
      <c r="D1491" s="2" t="s">
        <v>27</v>
      </c>
      <c r="E1491" s="0" t="str">
        <f aca="false">VLOOKUP(D1491,Fornitori!$A$2:$C$6,2,FALSE())</f>
        <v>Guarnizioni Alpi</v>
      </c>
      <c r="F1491" s="0" t="n">
        <v>26</v>
      </c>
      <c r="G1491" s="0" t="n">
        <v>8</v>
      </c>
      <c r="H1491" s="0" t="str">
        <f aca="false">IF(F1491&lt;G1491,"SI","NO")</f>
        <v>NO</v>
      </c>
    </row>
    <row r="1492" customFormat="false" ht="15" hidden="false" customHeight="false" outlineLevel="0" collapsed="false">
      <c r="A1492" s="0" t="s">
        <v>3631</v>
      </c>
      <c r="B1492" s="0" t="s">
        <v>3632</v>
      </c>
      <c r="C1492" s="0" t="s">
        <v>1230</v>
      </c>
      <c r="D1492" s="2" t="s">
        <v>11</v>
      </c>
      <c r="E1492" s="0" t="str">
        <f aca="false">VLOOKUP(D1492,Fornitori!$A$2:$C$6,2,FALSE())</f>
        <v>Meccanica Bassi S.r.l.</v>
      </c>
      <c r="F1492" s="0" t="n">
        <v>51</v>
      </c>
      <c r="G1492" s="0" t="n">
        <v>21</v>
      </c>
      <c r="H1492" s="0" t="str">
        <f aca="false">IF(F1492&lt;G1492,"SI","NO")</f>
        <v>NO</v>
      </c>
    </row>
    <row r="1493" customFormat="false" ht="15" hidden="false" customHeight="false" outlineLevel="0" collapsed="false">
      <c r="A1493" s="0" t="s">
        <v>3633</v>
      </c>
      <c r="B1493" s="0" t="s">
        <v>3634</v>
      </c>
      <c r="C1493" s="0" t="s">
        <v>3635</v>
      </c>
      <c r="D1493" s="2" t="s">
        <v>15</v>
      </c>
      <c r="E1493" s="0" t="str">
        <f aca="false">VLOOKUP(D1493,Fornitori!$A$2:$C$6,2,FALSE())</f>
        <v>Rulmeca Italia</v>
      </c>
      <c r="F1493" s="0" t="n">
        <v>49</v>
      </c>
      <c r="G1493" s="0" t="n">
        <v>22</v>
      </c>
      <c r="H1493" s="0" t="str">
        <f aca="false">IF(F1493&lt;G1493,"SI","NO")</f>
        <v>NO</v>
      </c>
    </row>
    <row r="1494" customFormat="false" ht="15" hidden="false" customHeight="false" outlineLevel="0" collapsed="false">
      <c r="A1494" s="0" t="s">
        <v>3636</v>
      </c>
      <c r="B1494" s="0" t="s">
        <v>460</v>
      </c>
      <c r="C1494" s="0" t="s">
        <v>1340</v>
      </c>
      <c r="D1494" s="2" t="s">
        <v>19</v>
      </c>
      <c r="E1494" s="0" t="str">
        <f aca="false">VLOOKUP(D1494,Fornitori!$A$2:$C$6,2,FALSE())</f>
        <v>Elettrotecnica Ferri</v>
      </c>
      <c r="F1494" s="0" t="n">
        <v>43</v>
      </c>
      <c r="G1494" s="0" t="n">
        <v>16</v>
      </c>
      <c r="H1494" s="0" t="str">
        <f aca="false">IF(F1494&lt;G1494,"SI","NO")</f>
        <v>NO</v>
      </c>
    </row>
    <row r="1495" customFormat="false" ht="15" hidden="false" customHeight="false" outlineLevel="0" collapsed="false">
      <c r="A1495" s="0" t="s">
        <v>3637</v>
      </c>
      <c r="B1495" s="0" t="s">
        <v>3225</v>
      </c>
      <c r="C1495" s="0" t="s">
        <v>2899</v>
      </c>
      <c r="D1495" s="2" t="s">
        <v>23</v>
      </c>
      <c r="E1495" s="0" t="str">
        <f aca="false">VLOOKUP(D1495,Fornitori!$A$2:$C$6,2,FALSE())</f>
        <v>Pneumax Service</v>
      </c>
      <c r="F1495" s="0" t="n">
        <v>34</v>
      </c>
      <c r="G1495" s="0" t="n">
        <v>22</v>
      </c>
      <c r="H1495" s="0" t="str">
        <f aca="false">IF(F1495&lt;G1495,"SI","NO")</f>
        <v>NO</v>
      </c>
    </row>
    <row r="1496" customFormat="false" ht="15" hidden="false" customHeight="false" outlineLevel="0" collapsed="false">
      <c r="A1496" s="0" t="s">
        <v>3638</v>
      </c>
      <c r="B1496" s="0" t="s">
        <v>3639</v>
      </c>
      <c r="C1496" s="0" t="s">
        <v>3640</v>
      </c>
      <c r="D1496" s="2" t="s">
        <v>27</v>
      </c>
      <c r="E1496" s="0" t="str">
        <f aca="false">VLOOKUP(D1496,Fornitori!$A$2:$C$6,2,FALSE())</f>
        <v>Guarnizioni Alpi</v>
      </c>
      <c r="F1496" s="0" t="n">
        <v>45</v>
      </c>
      <c r="G1496" s="0" t="n">
        <v>15</v>
      </c>
      <c r="H1496" s="0" t="str">
        <f aca="false">IF(F1496&lt;G1496,"SI","NO")</f>
        <v>NO</v>
      </c>
    </row>
    <row r="1497" customFormat="false" ht="15" hidden="false" customHeight="false" outlineLevel="0" collapsed="false">
      <c r="A1497" s="0" t="s">
        <v>3641</v>
      </c>
      <c r="B1497" s="0" t="s">
        <v>3642</v>
      </c>
      <c r="C1497" s="0" t="s">
        <v>2749</v>
      </c>
      <c r="D1497" s="2" t="s">
        <v>11</v>
      </c>
      <c r="E1497" s="0" t="str">
        <f aca="false">VLOOKUP(D1497,Fornitori!$A$2:$C$6,2,FALSE())</f>
        <v>Meccanica Bassi S.r.l.</v>
      </c>
      <c r="F1497" s="0" t="n">
        <v>22</v>
      </c>
      <c r="G1497" s="0" t="n">
        <v>24</v>
      </c>
      <c r="H1497" s="0" t="str">
        <f aca="false">IF(F1497&lt;G1497,"SI","NO")</f>
        <v>SI</v>
      </c>
    </row>
    <row r="1498" customFormat="false" ht="15" hidden="false" customHeight="false" outlineLevel="0" collapsed="false">
      <c r="A1498" s="0" t="s">
        <v>3643</v>
      </c>
      <c r="B1498" s="0" t="s">
        <v>3644</v>
      </c>
      <c r="C1498" s="0" t="s">
        <v>3531</v>
      </c>
      <c r="D1498" s="2" t="s">
        <v>15</v>
      </c>
      <c r="E1498" s="0" t="str">
        <f aca="false">VLOOKUP(D1498,Fornitori!$A$2:$C$6,2,FALSE())</f>
        <v>Rulmeca Italia</v>
      </c>
      <c r="F1498" s="0" t="n">
        <v>30</v>
      </c>
      <c r="G1498" s="0" t="n">
        <v>9</v>
      </c>
      <c r="H1498" s="0" t="str">
        <f aca="false">IF(F1498&lt;G1498,"SI","NO")</f>
        <v>NO</v>
      </c>
    </row>
    <row r="1499" customFormat="false" ht="15" hidden="false" customHeight="false" outlineLevel="0" collapsed="false">
      <c r="A1499" s="0" t="s">
        <v>3645</v>
      </c>
      <c r="B1499" s="0" t="s">
        <v>1035</v>
      </c>
      <c r="C1499" s="0" t="s">
        <v>3047</v>
      </c>
      <c r="D1499" s="2" t="s">
        <v>19</v>
      </c>
      <c r="E1499" s="0" t="str">
        <f aca="false">VLOOKUP(D1499,Fornitori!$A$2:$C$6,2,FALSE())</f>
        <v>Elettrotecnica Ferri</v>
      </c>
      <c r="F1499" s="0" t="n">
        <v>21</v>
      </c>
      <c r="G1499" s="0" t="n">
        <v>12</v>
      </c>
      <c r="H1499" s="0" t="str">
        <f aca="false">IF(F1499&lt;G1499,"SI","NO")</f>
        <v>NO</v>
      </c>
    </row>
    <row r="1500" customFormat="false" ht="15" hidden="false" customHeight="false" outlineLevel="0" collapsed="false">
      <c r="A1500" s="0" t="s">
        <v>3646</v>
      </c>
      <c r="B1500" s="0" t="s">
        <v>3647</v>
      </c>
      <c r="C1500" s="0" t="s">
        <v>3648</v>
      </c>
      <c r="D1500" s="2" t="s">
        <v>23</v>
      </c>
      <c r="E1500" s="0" t="str">
        <f aca="false">VLOOKUP(D1500,Fornitori!$A$2:$C$6,2,FALSE())</f>
        <v>Pneumax Service</v>
      </c>
      <c r="F1500" s="0" t="n">
        <v>44</v>
      </c>
      <c r="G1500" s="0" t="n">
        <v>23</v>
      </c>
      <c r="H1500" s="0" t="str">
        <f aca="false">IF(F1500&lt;G1500,"SI","NO")</f>
        <v>NO</v>
      </c>
    </row>
    <row r="1501" customFormat="false" ht="15" hidden="false" customHeight="false" outlineLevel="0" collapsed="false">
      <c r="A1501" s="0" t="s">
        <v>3649</v>
      </c>
      <c r="B1501" s="0" t="s">
        <v>2453</v>
      </c>
      <c r="C1501" s="0" t="s">
        <v>2566</v>
      </c>
      <c r="D1501" s="2" t="s">
        <v>27</v>
      </c>
      <c r="E1501" s="0" t="str">
        <f aca="false">VLOOKUP(D1501,Fornitori!$A$2:$C$6,2,FALSE())</f>
        <v>Guarnizioni Alpi</v>
      </c>
      <c r="F1501" s="0" t="n">
        <v>27</v>
      </c>
      <c r="G1501" s="0" t="n">
        <v>24</v>
      </c>
      <c r="H1501" s="0" t="str">
        <f aca="false">IF(F1501&lt;G1501,"SI","NO")</f>
        <v>NO</v>
      </c>
    </row>
  </sheetData>
  <dataValidations count="1">
    <dataValidation allowBlank="false" errorStyle="stop" operator="between" showDropDown="false" showErrorMessage="false" showInputMessage="false" sqref="D2:D1501" type="list">
      <formula1>"F01,F02,F03,F04,F05"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4</v>
      </c>
      <c r="C1" s="1" t="s">
        <v>3650</v>
      </c>
    </row>
    <row r="2" customFormat="false" ht="15" hidden="false" customHeight="false" outlineLevel="0" collapsed="false">
      <c r="A2" s="0" t="s">
        <v>11</v>
      </c>
      <c r="B2" s="0" t="s">
        <v>3651</v>
      </c>
      <c r="C2" s="0" t="s">
        <v>3652</v>
      </c>
    </row>
    <row r="3" customFormat="false" ht="15" hidden="false" customHeight="false" outlineLevel="0" collapsed="false">
      <c r="A3" s="0" t="s">
        <v>15</v>
      </c>
      <c r="B3" s="0" t="s">
        <v>3653</v>
      </c>
      <c r="C3" s="0" t="s">
        <v>3654</v>
      </c>
    </row>
    <row r="4" customFormat="false" ht="15" hidden="false" customHeight="false" outlineLevel="0" collapsed="false">
      <c r="A4" s="0" t="s">
        <v>19</v>
      </c>
      <c r="B4" s="0" t="s">
        <v>3655</v>
      </c>
      <c r="C4" s="0" t="s">
        <v>3656</v>
      </c>
    </row>
    <row r="5" customFormat="false" ht="15" hidden="false" customHeight="false" outlineLevel="0" collapsed="false">
      <c r="A5" s="0" t="s">
        <v>23</v>
      </c>
      <c r="B5" s="0" t="s">
        <v>3657</v>
      </c>
      <c r="C5" s="0" t="s">
        <v>3658</v>
      </c>
    </row>
    <row r="6" customFormat="false" ht="15" hidden="false" customHeight="false" outlineLevel="0" collapsed="false">
      <c r="A6" s="0" t="s">
        <v>27</v>
      </c>
      <c r="B6" s="0" t="s">
        <v>3659</v>
      </c>
      <c r="C6" s="0" t="s">
        <v>3660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3" t="s">
        <v>3661</v>
      </c>
      <c r="E1" s="3" t="s">
        <v>3662</v>
      </c>
    </row>
    <row r="2" customFormat="false" ht="15" hidden="false" customHeight="false" outlineLevel="0" collapsed="false">
      <c r="A2" s="0" t="s">
        <v>8</v>
      </c>
      <c r="E2" s="0" t="s">
        <v>11</v>
      </c>
      <c r="F2" s="0" t="n">
        <v>39</v>
      </c>
    </row>
    <row r="3" customFormat="false" ht="15" hidden="false" customHeight="false" outlineLevel="0" collapsed="false">
      <c r="A3" s="0" t="s">
        <v>12</v>
      </c>
      <c r="E3" s="0" t="s">
        <v>15</v>
      </c>
      <c r="F3" s="0" t="n">
        <v>33</v>
      </c>
    </row>
    <row r="4" customFormat="false" ht="15" hidden="false" customHeight="false" outlineLevel="0" collapsed="false">
      <c r="A4" s="0" t="s">
        <v>24</v>
      </c>
      <c r="E4" s="0" t="s">
        <v>19</v>
      </c>
      <c r="F4" s="0" t="n">
        <v>10</v>
      </c>
    </row>
    <row r="5" customFormat="false" ht="15" hidden="false" customHeight="false" outlineLevel="0" collapsed="false">
      <c r="A5" s="0" t="s">
        <v>28</v>
      </c>
      <c r="E5" s="0" t="s">
        <v>23</v>
      </c>
      <c r="F5" s="0" t="n">
        <v>28</v>
      </c>
    </row>
    <row r="6" customFormat="false" ht="15" hidden="false" customHeight="false" outlineLevel="0" collapsed="false">
      <c r="A6" s="0" t="s">
        <v>61</v>
      </c>
      <c r="E6" s="0" t="s">
        <v>27</v>
      </c>
      <c r="F6" s="0" t="n">
        <v>35</v>
      </c>
    </row>
    <row r="7" customFormat="false" ht="15" hidden="false" customHeight="false" outlineLevel="0" collapsed="false">
      <c r="A7" s="0" t="s">
        <v>64</v>
      </c>
    </row>
    <row r="8" customFormat="false" ht="15" hidden="false" customHeight="false" outlineLevel="0" collapsed="false">
      <c r="A8" s="0" t="s">
        <v>73</v>
      </c>
    </row>
    <row r="9" customFormat="false" ht="15" hidden="false" customHeight="false" outlineLevel="0" collapsed="false">
      <c r="A9" s="0" t="s">
        <v>88</v>
      </c>
    </row>
    <row r="10" customFormat="false" ht="15" hidden="false" customHeight="false" outlineLevel="0" collapsed="false">
      <c r="A10" s="0" t="s">
        <v>91</v>
      </c>
    </row>
    <row r="11" customFormat="false" ht="15" hidden="false" customHeight="false" outlineLevel="0" collapsed="false">
      <c r="A11" s="0" t="s">
        <v>94</v>
      </c>
    </row>
    <row r="12" customFormat="false" ht="15" hidden="false" customHeight="false" outlineLevel="0" collapsed="false">
      <c r="A12" s="0" t="s">
        <v>97</v>
      </c>
    </row>
    <row r="13" customFormat="false" ht="15" hidden="false" customHeight="false" outlineLevel="0" collapsed="false">
      <c r="A13" s="0" t="s">
        <v>100</v>
      </c>
    </row>
    <row r="14" customFormat="false" ht="15" hidden="false" customHeight="false" outlineLevel="0" collapsed="false">
      <c r="A14" s="0" t="s">
        <v>111</v>
      </c>
    </row>
    <row r="15" customFormat="false" ht="15" hidden="false" customHeight="false" outlineLevel="0" collapsed="false">
      <c r="A15" s="0" t="s">
        <v>123</v>
      </c>
    </row>
    <row r="16" customFormat="false" ht="15" hidden="false" customHeight="false" outlineLevel="0" collapsed="false">
      <c r="A16" s="0" t="s">
        <v>138</v>
      </c>
    </row>
    <row r="17" customFormat="false" ht="15" hidden="false" customHeight="false" outlineLevel="0" collapsed="false">
      <c r="A17" s="0" t="s">
        <v>144</v>
      </c>
    </row>
    <row r="18" customFormat="false" ht="15" hidden="false" customHeight="false" outlineLevel="0" collapsed="false">
      <c r="A18" s="0" t="s">
        <v>147</v>
      </c>
    </row>
    <row r="19" customFormat="false" ht="15" hidden="false" customHeight="false" outlineLevel="0" collapsed="false">
      <c r="A19" s="0" t="s">
        <v>153</v>
      </c>
    </row>
    <row r="20" customFormat="false" ht="15" hidden="false" customHeight="false" outlineLevel="0" collapsed="false">
      <c r="A20" s="0" t="s">
        <v>165</v>
      </c>
    </row>
    <row r="21" customFormat="false" ht="15" hidden="false" customHeight="false" outlineLevel="0" collapsed="false">
      <c r="A21" s="0" t="s">
        <v>171</v>
      </c>
    </row>
    <row r="22" customFormat="false" ht="15" hidden="false" customHeight="false" outlineLevel="0" collapsed="false">
      <c r="A22" s="0" t="s">
        <v>174</v>
      </c>
    </row>
    <row r="23" customFormat="false" ht="15" hidden="false" customHeight="false" outlineLevel="0" collapsed="false">
      <c r="A23" s="0" t="s">
        <v>180</v>
      </c>
    </row>
    <row r="24" customFormat="false" ht="15" hidden="false" customHeight="false" outlineLevel="0" collapsed="false">
      <c r="A24" s="0" t="s">
        <v>201</v>
      </c>
    </row>
    <row r="25" customFormat="false" ht="15" hidden="false" customHeight="false" outlineLevel="0" collapsed="false">
      <c r="A25" s="0" t="s">
        <v>204</v>
      </c>
    </row>
    <row r="26" customFormat="false" ht="15" hidden="false" customHeight="false" outlineLevel="0" collapsed="false">
      <c r="A26" s="0" t="s">
        <v>210</v>
      </c>
    </row>
    <row r="27" customFormat="false" ht="15" hidden="false" customHeight="false" outlineLevel="0" collapsed="false">
      <c r="A27" s="0" t="s">
        <v>213</v>
      </c>
    </row>
    <row r="28" customFormat="false" ht="15" hidden="false" customHeight="false" outlineLevel="0" collapsed="false">
      <c r="A28" s="0" t="s">
        <v>216</v>
      </c>
    </row>
    <row r="29" customFormat="false" ht="15" hidden="false" customHeight="false" outlineLevel="0" collapsed="false">
      <c r="A29" s="0" t="s">
        <v>222</v>
      </c>
    </row>
    <row r="30" customFormat="false" ht="15" hidden="false" customHeight="false" outlineLevel="0" collapsed="false">
      <c r="A30" s="0" t="s">
        <v>228</v>
      </c>
    </row>
    <row r="31" customFormat="false" ht="15" hidden="false" customHeight="false" outlineLevel="0" collapsed="false">
      <c r="A31" s="0" t="s">
        <v>234</v>
      </c>
    </row>
    <row r="32" customFormat="false" ht="15" hidden="false" customHeight="false" outlineLevel="0" collapsed="false">
      <c r="A32" s="0" t="s">
        <v>237</v>
      </c>
    </row>
    <row r="33" customFormat="false" ht="15" hidden="false" customHeight="false" outlineLevel="0" collapsed="false">
      <c r="A33" s="0" t="s">
        <v>246</v>
      </c>
    </row>
    <row r="34" customFormat="false" ht="15" hidden="false" customHeight="false" outlineLevel="0" collapsed="false">
      <c r="A34" s="0" t="s">
        <v>252</v>
      </c>
    </row>
    <row r="35" customFormat="false" ht="15" hidden="false" customHeight="false" outlineLevel="0" collapsed="false">
      <c r="A35" s="0" t="s">
        <v>279</v>
      </c>
    </row>
    <row r="36" customFormat="false" ht="15" hidden="false" customHeight="false" outlineLevel="0" collapsed="false">
      <c r="A36" s="0" t="s">
        <v>282</v>
      </c>
    </row>
    <row r="37" customFormat="false" ht="15" hidden="false" customHeight="false" outlineLevel="0" collapsed="false">
      <c r="A37" s="0" t="s">
        <v>297</v>
      </c>
    </row>
    <row r="38" customFormat="false" ht="15" hidden="false" customHeight="false" outlineLevel="0" collapsed="false">
      <c r="A38" s="0" t="s">
        <v>303</v>
      </c>
    </row>
    <row r="39" customFormat="false" ht="15" hidden="false" customHeight="false" outlineLevel="0" collapsed="false">
      <c r="A39" s="0" t="s">
        <v>309</v>
      </c>
    </row>
    <row r="40" customFormat="false" ht="15" hidden="false" customHeight="false" outlineLevel="0" collapsed="false">
      <c r="A40" s="0" t="s">
        <v>320</v>
      </c>
    </row>
    <row r="41" customFormat="false" ht="15" hidden="false" customHeight="false" outlineLevel="0" collapsed="false">
      <c r="A41" s="0" t="s">
        <v>335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2026-10-16T09:00:00Z</dcterms:created>
  <dc:creator>Ufficio Controllo di Gestione</dc:creator>
  <dc:description/>
  <dc:language>en-US</dc:language>
  <cp:lastModifiedBy/>
  <dcterms:modified xsi:type="dcterms:W3CDTF">2026-01-01T00:00:00Z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