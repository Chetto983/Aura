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potesi" sheetId="1" state="visible" r:id="rId2"/>
    <sheet name="Ricavi" sheetId="2" state="visible" r:id="rId3"/>
    <sheet name="Costi" sheetId="3" state="visible" r:id="rId4"/>
    <sheet name="Consolidato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2" authorId="0">
      <text>
        <r>
          <rPr>
            <sz val="11"/>
            <color rgb="FF000000"/>
            <rFont val="Calibri"/>
            <family val="2"/>
            <charset val="1"/>
          </rPr>
          <t xml:space="preserve">Approvata dal CdA del 12 dicembre</t>
        </r>
      </text>
    </comment>
  </commentList>
</comments>
</file>

<file path=xl/sharedStrings.xml><?xml version="1.0" encoding="utf-8"?>
<sst xmlns="http://schemas.openxmlformats.org/spreadsheetml/2006/main" count="36" uniqueCount="34">
  <si>
    <t xml:space="preserve">Ipotesi di budget 2026</t>
  </si>
  <si>
    <t xml:space="preserve">Crescita ricavi attesa</t>
  </si>
  <si>
    <t xml:space="preserve">Inflazione sui costi</t>
  </si>
  <si>
    <t xml:space="preserve">Cambio EUR/USD di riferimento</t>
  </si>
  <si>
    <t xml:space="preserve">Ricavi 2026 per area geografica (migliaia di euro)</t>
  </si>
  <si>
    <t xml:space="preserve">Trimestre</t>
  </si>
  <si>
    <t xml:space="preserve">Area</t>
  </si>
  <si>
    <t xml:space="preserve">T1</t>
  </si>
  <si>
    <t xml:space="preserve">T2</t>
  </si>
  <si>
    <t xml:space="preserve">T3</t>
  </si>
  <si>
    <t xml:space="preserve">T4</t>
  </si>
  <si>
    <t xml:space="preserve">Totale anno</t>
  </si>
  <si>
    <t xml:space="preserve">Nord-Ovest</t>
  </si>
  <si>
    <t xml:space="preserve">Nord-Est</t>
  </si>
  <si>
    <t xml:space="preserve">Centro</t>
  </si>
  <si>
    <t xml:space="preserve">Sud e Isole</t>
  </si>
  <si>
    <t xml:space="preserve">Totale</t>
  </si>
  <si>
    <t xml:space="preserve">Centro di costo</t>
  </si>
  <si>
    <t xml:space="preserve">Personale</t>
  </si>
  <si>
    <t xml:space="preserve">Materiali</t>
  </si>
  <si>
    <t xml:space="preserve">Servizi</t>
  </si>
  <si>
    <t xml:space="preserve">Ammortamenti</t>
  </si>
  <si>
    <t xml:space="preserve">Produzione</t>
  </si>
  <si>
    <t xml:space="preserve">Logistica</t>
  </si>
  <si>
    <t xml:space="preserve">Commerciale</t>
  </si>
  <si>
    <t xml:space="preserve">Amministrazione</t>
  </si>
  <si>
    <t xml:space="preserve">R&amp;S</t>
  </si>
  <si>
    <t xml:space="preserve">Voce</t>
  </si>
  <si>
    <t xml:space="preserve">Importo (k€)</t>
  </si>
  <si>
    <t xml:space="preserve">Ricavi totali</t>
  </si>
  <si>
    <t xml:space="preserve">Costi totali</t>
  </si>
  <si>
    <t xml:space="preserve">Costi indicizzati</t>
  </si>
  <si>
    <t xml:space="preserve">EBITDA</t>
  </si>
  <si>
    <t xml:space="preserve">EBITDA margin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</si>
</sst>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  <c r="B2" s="0" t="n">
        <v>0.035</v>
      </c>
    </row>
    <row r="3" customFormat="false" ht="15" hidden="false" customHeight="false" outlineLevel="0" collapsed="false">
      <c r="A3" s="0" t="s">
        <v>2</v>
      </c>
      <c r="B3" s="0" t="n">
        <v>0.023</v>
      </c>
    </row>
    <row r="4" customFormat="false" ht="15" hidden="false" customHeight="false" outlineLevel="0" collapsed="false">
      <c r="A4" s="0" t="s">
        <v>3</v>
      </c>
      <c r="B4" s="0" t="n">
        <v>1.1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4</v>
      </c>
      <c r="B1" s="1"/>
      <c r="C1" s="1"/>
      <c r="D1" s="1"/>
      <c r="E1" s="1"/>
      <c r="F1" s="1"/>
    </row>
    <row r="2" customFormat="false" ht="15" hidden="false" customHeight="false" outlineLevel="0" collapsed="false">
      <c r="B2" s="1" t="s">
        <v>5</v>
      </c>
      <c r="C2" s="1"/>
      <c r="D2" s="1"/>
      <c r="E2" s="1"/>
    </row>
    <row r="3" customFormat="false" ht="15" hidden="false" customHeight="false" outlineLevel="0" collapsed="false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customFormat="false" ht="15" hidden="false" customHeight="false" outlineLevel="0" collapsed="false">
      <c r="A4" s="0" t="s">
        <v>12</v>
      </c>
      <c r="B4" s="0" t="n">
        <v>2561</v>
      </c>
      <c r="C4" s="0" t="n">
        <v>1010</v>
      </c>
      <c r="D4" s="0" t="n">
        <v>1257</v>
      </c>
      <c r="E4" s="0" t="n">
        <v>2030</v>
      </c>
      <c r="F4" s="0" t="n">
        <f aca="false">SUM(B4:E4)</f>
        <v>6858</v>
      </c>
    </row>
    <row r="5" customFormat="false" ht="15" hidden="false" customHeight="false" outlineLevel="0" collapsed="false">
      <c r="A5" s="0" t="s">
        <v>13</v>
      </c>
      <c r="B5" s="0" t="n">
        <v>2072</v>
      </c>
      <c r="C5" s="0" t="n">
        <v>1939</v>
      </c>
      <c r="D5" s="0" t="n">
        <v>1661</v>
      </c>
      <c r="E5" s="0" t="n">
        <v>2404</v>
      </c>
      <c r="F5" s="0" t="n">
        <f aca="false">SUM(B5:E5)</f>
        <v>8076</v>
      </c>
    </row>
    <row r="6" customFormat="false" ht="15" hidden="false" customHeight="false" outlineLevel="0" collapsed="false">
      <c r="A6" s="0" t="s">
        <v>14</v>
      </c>
      <c r="B6" s="0" t="n">
        <v>1972</v>
      </c>
      <c r="C6" s="0" t="n">
        <v>1921</v>
      </c>
      <c r="D6" s="0" t="n">
        <v>2525</v>
      </c>
      <c r="E6" s="0" t="n">
        <v>2296</v>
      </c>
      <c r="F6" s="0" t="n">
        <f aca="false">SUM(B6:E6)</f>
        <v>8714</v>
      </c>
    </row>
    <row r="7" customFormat="false" ht="15" hidden="false" customHeight="false" outlineLevel="0" collapsed="false">
      <c r="A7" s="0" t="s">
        <v>15</v>
      </c>
      <c r="B7" s="0" t="n">
        <v>2390</v>
      </c>
      <c r="C7" s="0" t="n">
        <v>2373</v>
      </c>
      <c r="D7" s="0" t="n">
        <v>1805</v>
      </c>
      <c r="E7" s="0" t="n">
        <v>2338</v>
      </c>
      <c r="F7" s="0" t="n">
        <f aca="false">SUM(B7:E7)</f>
        <v>8906</v>
      </c>
    </row>
    <row r="8" customFormat="false" ht="15" hidden="false" customHeight="false" outlineLevel="0" collapsed="false">
      <c r="A8" s="0" t="s">
        <v>16</v>
      </c>
      <c r="B8" s="0" t="n">
        <f aca="false">SUM(B4:B7)</f>
        <v>8995</v>
      </c>
      <c r="C8" s="0" t="n">
        <f aca="false">SUM(C4:C7)</f>
        <v>7243</v>
      </c>
      <c r="D8" s="0" t="n">
        <f aca="false">SUM(D4:D7)</f>
        <v>7248</v>
      </c>
      <c r="E8" s="0" t="n">
        <f aca="false">SUM(E4:E7)</f>
        <v>9068</v>
      </c>
      <c r="F8" s="0" t="n">
        <f aca="false">SUM(F4:F7)</f>
        <v>32554</v>
      </c>
    </row>
  </sheetData>
  <mergeCells count="2">
    <mergeCell ref="A1:F1"/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16</v>
      </c>
    </row>
    <row r="2" customFormat="false" ht="15" hidden="false" customHeight="false" outlineLevel="0" collapsed="false">
      <c r="A2" s="0" t="s">
        <v>22</v>
      </c>
      <c r="B2" s="0" t="n">
        <v>1351</v>
      </c>
      <c r="C2" s="0" t="n">
        <v>1053</v>
      </c>
      <c r="D2" s="0" t="n">
        <v>641</v>
      </c>
      <c r="E2" s="0" t="n">
        <v>155</v>
      </c>
      <c r="F2" s="0" t="n">
        <f aca="false">SUM(B2:E2)</f>
        <v>3200</v>
      </c>
    </row>
    <row r="3" customFormat="false" ht="15" hidden="false" customHeight="false" outlineLevel="0" collapsed="false">
      <c r="A3" s="0" t="s">
        <v>23</v>
      </c>
      <c r="B3" s="0" t="n">
        <v>315</v>
      </c>
      <c r="C3" s="0" t="n">
        <v>376</v>
      </c>
      <c r="D3" s="0" t="n">
        <v>738</v>
      </c>
      <c r="E3" s="0" t="n">
        <v>350</v>
      </c>
      <c r="F3" s="0" t="n">
        <f aca="false">SUM(B3:E3)</f>
        <v>1779</v>
      </c>
    </row>
    <row r="4" customFormat="false" ht="15" hidden="false" customHeight="false" outlineLevel="0" collapsed="false">
      <c r="A4" s="0" t="s">
        <v>24</v>
      </c>
      <c r="B4" s="0" t="n">
        <v>1070</v>
      </c>
      <c r="C4" s="0" t="n">
        <v>173</v>
      </c>
      <c r="D4" s="0" t="n">
        <v>1154</v>
      </c>
      <c r="E4" s="0" t="n">
        <v>793</v>
      </c>
      <c r="F4" s="0" t="n">
        <f aca="false">SUM(B4:E4)</f>
        <v>3190</v>
      </c>
    </row>
    <row r="5" customFormat="false" ht="15" hidden="false" customHeight="false" outlineLevel="0" collapsed="false">
      <c r="A5" s="0" t="s">
        <v>25</v>
      </c>
      <c r="B5" s="0" t="n">
        <v>580</v>
      </c>
      <c r="C5" s="0" t="n">
        <v>963</v>
      </c>
      <c r="D5" s="0" t="n">
        <v>665</v>
      </c>
      <c r="E5" s="0" t="n">
        <v>862</v>
      </c>
      <c r="F5" s="0" t="n">
        <f aca="false">SUM(B5:E5)</f>
        <v>3070</v>
      </c>
    </row>
    <row r="6" customFormat="false" ht="15" hidden="false" customHeight="false" outlineLevel="0" collapsed="false">
      <c r="A6" s="0" t="s">
        <v>26</v>
      </c>
      <c r="B6" s="0" t="n">
        <v>880</v>
      </c>
      <c r="C6" s="0" t="n">
        <v>920</v>
      </c>
      <c r="D6" s="0" t="n">
        <v>1201</v>
      </c>
      <c r="E6" s="0" t="n">
        <v>306</v>
      </c>
      <c r="F6" s="0" t="n">
        <f aca="false">SUM(B6:E6)</f>
        <v>3307</v>
      </c>
    </row>
    <row r="7" customFormat="false" ht="15" hidden="false" customHeight="false" outlineLevel="0" collapsed="false">
      <c r="A7" s="0" t="s">
        <v>16</v>
      </c>
      <c r="B7" s="0" t="n">
        <f aca="false">SUM(B2:B6)</f>
        <v>4196</v>
      </c>
      <c r="C7" s="0" t="n">
        <f aca="false">SUM(C2:C6)</f>
        <v>3485</v>
      </c>
      <c r="D7" s="0" t="n">
        <f aca="false">SUM(D2:D6)</f>
        <v>4399</v>
      </c>
      <c r="E7" s="0" t="n">
        <f aca="false">SUM(E2:E6)</f>
        <v>2466</v>
      </c>
      <c r="F7" s="0" t="n">
        <f aca="false">SUM(F2:F6)</f>
        <v>14546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27</v>
      </c>
      <c r="B1" s="0" t="s">
        <v>28</v>
      </c>
    </row>
    <row r="2" customFormat="false" ht="15" hidden="false" customHeight="false" outlineLevel="0" collapsed="false">
      <c r="A2" s="0" t="s">
        <v>29</v>
      </c>
      <c r="B2" s="0" t="n">
        <f aca="false">Ricavi!F8</f>
        <v>32554</v>
      </c>
    </row>
    <row r="3" customFormat="false" ht="15" hidden="false" customHeight="false" outlineLevel="0" collapsed="false">
      <c r="A3" s="0" t="s">
        <v>30</v>
      </c>
      <c r="B3" s="0" t="n">
        <f aca="false">Costi!F7</f>
        <v>14546</v>
      </c>
    </row>
    <row r="4" customFormat="false" ht="15" hidden="false" customHeight="false" outlineLevel="0" collapsed="false">
      <c r="A4" s="0" t="s">
        <v>31</v>
      </c>
      <c r="B4" s="0" t="n">
        <f aca="false">B3*(1+Ipotesi!B3)</f>
        <v>14880.558</v>
      </c>
    </row>
    <row r="5" customFormat="false" ht="15" hidden="false" customHeight="false" outlineLevel="0" collapsed="false">
      <c r="A5" s="0" t="s">
        <v>32</v>
      </c>
      <c r="B5" s="0" t="n">
        <f aca="false">B2-B4</f>
        <v>17673.442</v>
      </c>
    </row>
    <row r="6" customFormat="false" ht="15" hidden="false" customHeight="false" outlineLevel="0" collapsed="false">
      <c r="A6" s="0" t="s">
        <v>33</v>
      </c>
      <c r="B6" s="0" t="n">
        <f aca="false">B5/B2</f>
        <v>0.542896172513363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2026-10-16T09:00:00Z</dcterms:created>
  <dc:creator>Ufficio Controllo di Gestione</dc:creator>
  <dc:description/>
  <dc:language>en-US</dc:language>
  <cp:lastModifiedBy/>
  <dcterms:modified xsi:type="dcterms:W3CDTF">2026-01-01T00:00:00Z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